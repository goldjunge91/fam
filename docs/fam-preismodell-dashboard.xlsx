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ingaben" sheetId="2" state="visible" r:id="rId2"/>
    <sheet xmlns:r="http://schemas.openxmlformats.org/officeDocument/2006/relationships" name="Szenarien" sheetId="3" state="visible" r:id="rId3"/>
    <sheet xmlns:r="http://schemas.openxmlformats.org/officeDocument/2006/relationships" name="Detail" sheetId="4" state="visible" r:id="rId4"/>
    <sheet xmlns:r="http://schemas.openxmlformats.org/officeDocument/2006/relationships" name="Hinweise" sheetId="5" state="visible" r:id="rId5"/>
  </sheets>
  <definedNames>
    <definedName name="_xlnm._FilterDatabase" localSheetId="0" hidden="1">'Dashboard'!$A$1:$K$36</definedName>
    <definedName name="_xlnm._FilterDatabase" localSheetId="1" hidden="1">'Eingaben'!$A$1:$E$31</definedName>
    <definedName name="_xlnm._FilterDatabase" localSheetId="2" hidden="1">'Szenarien'!$A$1:$AG$15</definedName>
    <definedName name="_xlnm._FilterDatabase" localSheetId="3" hidden="1">'Detail'!$A$1:$O$28</definedName>
    <definedName name="_xlnm._FilterDatabase" localSheetId="4" hidden="1">'Hinweise'!$A$1:$D$15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€ 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4B354D"/>
      <sz val="18"/>
    </font>
    <font>
      <i val="1"/>
      <color rgb="006B6468"/>
    </font>
    <font>
      <b val="1"/>
      <color rgb="00FFFFFF"/>
    </font>
    <font>
      <b val="1"/>
      <color rgb="004B354D"/>
    </font>
    <font>
      <b val="1"/>
      <color rgb="004B354D"/>
      <sz val="14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FFF9F2"/>
      </patternFill>
    </fill>
    <fill>
      <patternFill patternType="solid">
        <fgColor rgb="00705573"/>
      </patternFill>
    </fill>
    <fill>
      <patternFill patternType="solid">
        <fgColor rgb="004B354D"/>
      </patternFill>
    </fill>
    <fill>
      <patternFill patternType="solid">
        <fgColor rgb="00FFF2CC"/>
      </patternFill>
    </fill>
    <fill>
      <patternFill patternType="solid">
        <fgColor rgb="00E7F3E8"/>
      </patternFill>
    </fill>
  </fills>
  <borders count="2">
    <border>
      <left/>
      <right/>
      <top/>
      <bottom/>
      <diagonal/>
    </border>
    <border>
      <bottom style="thin">
        <color rgb="00D8CDD3"/>
      </bottom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4" fillId="5" borderId="0" pivotButton="0" quotePrefix="0" xfId="0"/>
    <xf numFmtId="0" fontId="3" fillId="3" borderId="0" pivotButton="0" quotePrefix="0" xfId="0"/>
    <xf numFmtId="164" fontId="5" fillId="6" borderId="1" pivotButton="0" quotePrefix="0" xfId="0"/>
    <xf numFmtId="165" fontId="5" fillId="6" borderId="1" pivotButton="0" quotePrefix="0" xfId="0"/>
    <xf numFmtId="3" fontId="5" fillId="6" borderId="1" pivotButton="0" quotePrefix="0" xfId="0"/>
    <xf numFmtId="0" fontId="3" fillId="4" borderId="0" applyAlignment="1" pivotButton="0" quotePrefix="0" xfId="0">
      <alignment vertical="center" wrapText="1"/>
    </xf>
    <xf numFmtId="0" fontId="0" fillId="2" borderId="1" pivotButton="0" quotePrefix="0" xfId="0"/>
    <xf numFmtId="3" fontId="0" fillId="2" borderId="1" applyAlignment="1" pivotButton="0" quotePrefix="0" xfId="0">
      <alignment vertical="top"/>
    </xf>
    <xf numFmtId="0" fontId="0" fillId="0" borderId="1" pivotButton="0" quotePrefix="0" xfId="0"/>
    <xf numFmtId="164" fontId="0" fillId="2" borderId="1" pivotButton="0" quotePrefix="0" xfId="0"/>
    <xf numFmtId="165" fontId="0" fillId="2" borderId="1" pivotButton="0" quotePrefix="0" xfId="0"/>
    <xf numFmtId="3" fontId="0" fillId="2" borderId="1" pivotButton="0" quotePrefix="0" xfId="0"/>
    <xf numFmtId="16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3" fontId="0" fillId="6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165" fontId="0" fillId="2" borderId="1" applyAlignment="1" pivotButton="0" quotePrefix="0" xfId="0">
      <alignment vertical="top" wrapText="1"/>
    </xf>
    <xf numFmtId="3" fontId="0" fillId="2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2" borderId="0" pivotButton="0" quotePrefix="0" xfId="0"/>
    <xf numFmtId="0" fontId="6" fillId="2" borderId="0" pivotButton="0" quotePrefix="0" xfId="1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FBE5E5"/>
        </patternFill>
      </fill>
    </dxf>
    <dxf>
      <fill>
        <patternFill patternType="solid">
          <fgColor rgb="00E7F3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Monatlicher echter Gewinn je Szenario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'Dashboard'!I10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'Dashboard'!$F$11:$F$13</f>
            </numRef>
          </cat>
          <val>
            <numRef>
              <f>'Dashboard'!$I$11:$I$13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Szenario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16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eveloper.apple.com/app-store/small-business-program/" TargetMode="External" Id="rId1"/><Relationship Type="http://schemas.openxmlformats.org/officeDocument/2006/relationships/hyperlink" Target="https://developer.apple.com/programs/whats-included/" TargetMode="External" Id="rId2"/><Relationship Type="http://schemas.openxmlformats.org/officeDocument/2006/relationships/hyperlink" Target="https://support.google.com/googleplay/android-developer/answer/1126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2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fam Monetarisierungs-Dashboard</t>
        </is>
      </c>
    </row>
    <row r="2">
      <c r="A2" s="2" t="inlineStr">
        <is>
          <t>Wähle ein Szenario. Die Werte zeigen eine monatliche Run-Rate, inklusive Free-Werbeumsatz und geschätztem echtem Gewinn.</t>
        </is>
      </c>
    </row>
    <row r="3">
      <c r="A3" s="3" t="inlineStr">
        <is>
          <t>Aktives Szenario</t>
        </is>
      </c>
      <c r="B3" s="4" t="inlineStr">
        <is>
          <t>Basis</t>
        </is>
      </c>
    </row>
    <row r="4"/>
    <row r="5">
      <c r="A5" s="5" t="inlineStr">
        <is>
          <t>Bruttoumsatz / Monat</t>
        </is>
      </c>
      <c r="B5" s="6">
        <f>INDEX(Szenarien!$E$13:$E$15,MATCH($B$3,Szenarien!$A$13:$A$15,0))+INDEX(Szenarien!$J$13:$J$15,MATCH($B$3,Szenarien!$A$13:$A$15,0))</f>
        <v/>
      </c>
      <c r="C5" s="5" t="inlineStr">
        <is>
          <t>Echter Gewinn / Monat</t>
        </is>
      </c>
      <c r="D5" s="6">
        <f>INDEX(Szenarien!$O$13:$O$15,MATCH($B$3,Szenarien!$A$13:$A$15,0))</f>
        <v/>
      </c>
    </row>
    <row r="6">
      <c r="A6" s="5" t="inlineStr">
        <is>
          <t>Gewinnmarge</t>
        </is>
      </c>
      <c r="B6" s="7">
        <f>INDEX(Szenarien!$P$13:$P$15,MATCH($B$3,Szenarien!$A$13:$A$15,0))</f>
        <v/>
      </c>
      <c r="C6" s="5" t="inlineStr">
        <is>
          <t>Break-even Haushalte</t>
        </is>
      </c>
      <c r="D6" s="8">
        <f>INDEX(Szenarien!$S$13:$S$15,MATCH($B$3,Szenarien!$A$13:$A$15,0))</f>
        <v/>
      </c>
    </row>
    <row r="7"/>
    <row r="8"/>
    <row r="9">
      <c r="A9" s="5" t="inlineStr">
        <is>
          <t>Ausgewähltes Szenario: Apple vs. Google</t>
        </is>
      </c>
      <c r="F9" s="5" t="inlineStr">
        <is>
          <t>Szenarienvergleich</t>
        </is>
      </c>
    </row>
    <row r="10" ht="34" customHeight="1">
      <c r="A10" s="9" t="inlineStr">
        <is>
          <t>Metrik</t>
        </is>
      </c>
      <c r="B10" s="9" t="inlineStr">
        <is>
          <t>Apple</t>
        </is>
      </c>
      <c r="C10" s="9" t="inlineStr">
        <is>
          <t>Google</t>
        </is>
      </c>
      <c r="D10" s="9" t="inlineStr">
        <is>
          <t>Gesamt</t>
        </is>
      </c>
      <c r="F10" s="9" t="inlineStr">
        <is>
          <t>Szenario</t>
        </is>
      </c>
      <c r="G10" s="9" t="inlineStr"/>
      <c r="H10" s="9" t="inlineStr">
        <is>
          <t>Brutto / Monat</t>
        </is>
      </c>
      <c r="I10" s="9" t="inlineStr">
        <is>
          <t>Echter Gewinn</t>
        </is>
      </c>
      <c r="J10" s="9" t="inlineStr">
        <is>
          <t>Marge</t>
        </is>
      </c>
      <c r="K10" s="9" t="inlineStr">
        <is>
          <t>Break-even</t>
        </is>
      </c>
    </row>
    <row r="11">
      <c r="A11" s="10" t="inlineStr">
        <is>
          <t>Free-Nutzer</t>
        </is>
      </c>
      <c r="B11" s="11">
        <f>INDEX(Szenarien!$B$6:$B$8,MATCH($B$3,Szenarien!$A$6:$A$8,0))</f>
        <v/>
      </c>
      <c r="C11" s="11">
        <f>INDEX(Szenarien!$C$6:$C$8,MATCH($B$3,Szenarien!$A$6:$A$8,0))</f>
        <v/>
      </c>
      <c r="D11" s="11">
        <f>SUM(B11:C11)</f>
        <v/>
      </c>
      <c r="F11" s="10">
        <f>Szenarien!A13</f>
        <v/>
      </c>
      <c r="G11" s="12" t="n"/>
      <c r="H11" s="13">
        <f>Szenarien!E13+Szenarien!J13</f>
        <v/>
      </c>
      <c r="I11" s="13">
        <f>Szenarien!O13</f>
        <v/>
      </c>
      <c r="J11" s="14">
        <f>Szenarien!P13</f>
        <v/>
      </c>
      <c r="K11" s="15">
        <f>Szenarien!S13</f>
        <v/>
      </c>
    </row>
    <row r="12">
      <c r="A12" s="10" t="inlineStr">
        <is>
          <t>Plus-Haushalte</t>
        </is>
      </c>
      <c r="B12" s="11">
        <f>SUMIFS(Detail!$E:$E,Detail!$A:$A,$B$3,Detail!$B:$B,"Apple",Detail!$C:$C,"Plus")</f>
        <v/>
      </c>
      <c r="C12" s="11">
        <f>SUMIFS(Detail!$E:$E,Detail!$A:$A,$B$3,Detail!$B:$B,"Google",Detail!$C:$C,"Plus")</f>
        <v/>
      </c>
      <c r="D12" s="11">
        <f>SUM(B12:C12)</f>
        <v/>
      </c>
      <c r="F12" s="10">
        <f>Szenarien!A14</f>
        <v/>
      </c>
      <c r="G12" s="12" t="n"/>
      <c r="H12" s="13">
        <f>Szenarien!E14+Szenarien!J14</f>
        <v/>
      </c>
      <c r="I12" s="13">
        <f>Szenarien!O14</f>
        <v/>
      </c>
      <c r="J12" s="14">
        <f>Szenarien!P14</f>
        <v/>
      </c>
      <c r="K12" s="15">
        <f>Szenarien!S14</f>
        <v/>
      </c>
    </row>
    <row r="13">
      <c r="A13" s="10" t="inlineStr">
        <is>
          <t>AI-Haushalte</t>
        </is>
      </c>
      <c r="B13" s="11">
        <f>SUMIFS(Detail!$E:$E,Detail!$A:$A,$B$3,Detail!$B:$B,"Apple",Detail!$C:$C,"AI")</f>
        <v/>
      </c>
      <c r="C13" s="11">
        <f>SUMIFS(Detail!$E:$E,Detail!$A:$A,$B$3,Detail!$B:$B,"Google",Detail!$C:$C,"AI")</f>
        <v/>
      </c>
      <c r="D13" s="11">
        <f>SUM(B13:C13)</f>
        <v/>
      </c>
      <c r="F13" s="10">
        <f>Szenarien!A15</f>
        <v/>
      </c>
      <c r="G13" s="12" t="n"/>
      <c r="H13" s="13">
        <f>Szenarien!E15+Szenarien!J15</f>
        <v/>
      </c>
      <c r="I13" s="13">
        <f>Szenarien!O15</f>
        <v/>
      </c>
      <c r="J13" s="14">
        <f>Szenarien!P15</f>
        <v/>
      </c>
      <c r="K13" s="15">
        <f>Szenarien!S15</f>
        <v/>
      </c>
    </row>
    <row r="14">
      <c r="A14" s="10" t="inlineStr">
        <is>
          <t>Bruttoumsatz Abos / Monat</t>
        </is>
      </c>
      <c r="B14" s="16">
        <f>SUMIFS(Detail!$G:$G,Detail!$A:$A,$B$3,Detail!$B:$B,"Apple")</f>
        <v/>
      </c>
      <c r="C14" s="16">
        <f>SUMIFS(Detail!$G:$G,Detail!$A:$A,$B$3,Detail!$B:$B,"Google")</f>
        <v/>
      </c>
      <c r="D14" s="16">
        <f>SUM(B14:C14)</f>
        <v/>
      </c>
    </row>
    <row r="15">
      <c r="A15" s="10" t="inlineStr">
        <is>
          <t>VAT</t>
        </is>
      </c>
      <c r="B15" s="16">
        <f>SUMIFS(Detail!$H:$H,Detail!$A:$A,$B$3,Detail!$B:$B,"Apple")</f>
        <v/>
      </c>
      <c r="C15" s="16">
        <f>SUMIFS(Detail!$H:$H,Detail!$A:$A,$B$3,Detail!$B:$B,"Google")</f>
        <v/>
      </c>
      <c r="D15" s="16">
        <f>SUM(B15:C15)</f>
        <v/>
      </c>
      <c r="F15" s="2" t="inlineStr">
        <is>
          <t>Die Szenarien zeigen, wie empfindlich Gewinn und Break-even auf Nutzer- und Abowachstum reagieren.</t>
        </is>
      </c>
    </row>
    <row r="16">
      <c r="A16" s="10" t="inlineStr">
        <is>
          <t>Store-Gebühr</t>
        </is>
      </c>
      <c r="B16" s="16">
        <f>SUMIFS(Detail!$J:$J,Detail!$A:$A,$B$3,Detail!$B:$B,"Apple")</f>
        <v/>
      </c>
      <c r="C16" s="16">
        <f>SUMIFS(Detail!$J:$J,Detail!$A:$A,$B$3,Detail!$B:$B,"Google")</f>
        <v/>
      </c>
      <c r="D16" s="16">
        <f>SUM(B16:C16)</f>
        <v/>
      </c>
    </row>
    <row r="17">
      <c r="A17" s="10" t="inlineStr">
        <is>
          <t>RevenueCat</t>
        </is>
      </c>
      <c r="B17" s="16">
        <f>SUMIFS(Detail!$K:$K,Detail!$A:$A,$B$3,Detail!$B:$B,"Apple")</f>
        <v/>
      </c>
      <c r="C17" s="16">
        <f>SUMIFS(Detail!$K:$K,Detail!$A:$A,$B$3,Detail!$B:$B,"Google")</f>
        <v/>
      </c>
      <c r="D17" s="16">
        <f>SUM(B17:C17)</f>
        <v/>
      </c>
    </row>
    <row r="18">
      <c r="A18" s="10" t="inlineStr">
        <is>
          <t>Refund-/Ausfallreserve</t>
        </is>
      </c>
      <c r="B18" s="16">
        <f>SUMIFS(Detail!$L:$L,Detail!$A:$A,$B$3,Detail!$B:$B,"Apple")</f>
        <v/>
      </c>
      <c r="C18" s="16">
        <f>SUMIFS(Detail!$L:$L,Detail!$A:$A,$B$3,Detail!$B:$B,"Google")</f>
        <v/>
      </c>
      <c r="D18" s="16">
        <f>SUM(B18:C18)</f>
        <v/>
      </c>
    </row>
    <row r="19">
      <c r="A19" s="10" t="inlineStr">
        <is>
          <t>Auszahlung Abos</t>
        </is>
      </c>
      <c r="B19" s="16">
        <f>SUMIFS(Detail!$M:$M,Detail!$A:$A,$B$3,Detail!$B:$B,"Apple")</f>
        <v/>
      </c>
      <c r="C19" s="16">
        <f>SUMIFS(Detail!$M:$M,Detail!$A:$A,$B$3,Detail!$B:$B,"Google")</f>
        <v/>
      </c>
      <c r="D19" s="16">
        <f>SUM(B19:C19)</f>
        <v/>
      </c>
    </row>
    <row r="20">
      <c r="A20" s="10" t="inlineStr">
        <is>
          <t>Free-Werbeumsatz brutto</t>
        </is>
      </c>
      <c r="B20" s="16">
        <f>B11*Eingaben!$B$27</f>
        <v/>
      </c>
      <c r="C20" s="16">
        <f>C11*Eingaben!$B$27</f>
        <v/>
      </c>
      <c r="D20" s="16">
        <f>SUM(B20:C20)</f>
        <v/>
      </c>
    </row>
    <row r="21">
      <c r="A21" s="10" t="inlineStr">
        <is>
          <t>Werbenetzwerk-Gebühr</t>
        </is>
      </c>
      <c r="B21" s="16">
        <f>B20*Eingaben!$B$17</f>
        <v/>
      </c>
      <c r="C21" s="16">
        <f>C20*Eingaben!$B$17</f>
        <v/>
      </c>
      <c r="D21" s="16">
        <f>SUM(B21:C21)</f>
        <v/>
      </c>
    </row>
    <row r="22">
      <c r="A22" s="10" t="inlineStr">
        <is>
          <t>Werbeerlös netto</t>
        </is>
      </c>
      <c r="B22" s="16">
        <f>B20-B21</f>
        <v/>
      </c>
      <c r="C22" s="16">
        <f>C20-C21</f>
        <v/>
      </c>
      <c r="D22" s="16">
        <f>SUM(B22:C22)</f>
        <v/>
      </c>
    </row>
    <row r="23">
      <c r="A23" s="10" t="inlineStr">
        <is>
          <t>Gesamtumsatz brutto</t>
        </is>
      </c>
      <c r="B23" s="16">
        <f>B14+B20</f>
        <v/>
      </c>
      <c r="C23" s="16">
        <f>C14+C20</f>
        <v/>
      </c>
      <c r="D23" s="16">
        <f>SUM(B23:C23)</f>
        <v/>
      </c>
    </row>
    <row r="24">
      <c r="A24" s="10" t="inlineStr">
        <is>
          <t>Variable Infra</t>
        </is>
      </c>
      <c r="B24" s="16">
        <f>SUMIFS(Detail!$N:$N,Detail!$A:$A,$B$3,Detail!$B:$B,"Apple")</f>
        <v/>
      </c>
      <c r="C24" s="16">
        <f>SUMIFS(Detail!$N:$N,Detail!$A:$A,$B$3,Detail!$B:$B,"Google")</f>
        <v/>
      </c>
      <c r="D24" s="16">
        <f>SUM(B24:C24)</f>
        <v/>
      </c>
    </row>
    <row r="25">
      <c r="A25" s="10" t="inlineStr">
        <is>
          <t>Fixkostenanteil</t>
        </is>
      </c>
      <c r="B25" s="16">
        <f>IF(SUM($B$11:$C$13)=0,0,Eingaben!$B$22*SUM(B11:B13)/SUM($B$11:$C$13))</f>
        <v/>
      </c>
      <c r="C25" s="16">
        <f>IF(SUM($B$11:$C$13)=0,0,Eingaben!$B$22*SUM(C11:C13)/SUM($B$11:$C$13))</f>
        <v/>
      </c>
      <c r="D25" s="16">
        <f>SUM(B25:C25)</f>
        <v/>
      </c>
    </row>
    <row r="26">
      <c r="A26" s="10" t="inlineStr">
        <is>
          <t>Echter Gewinn</t>
        </is>
      </c>
      <c r="B26" s="16">
        <f>B19+B22-B24-B25</f>
        <v/>
      </c>
      <c r="C26" s="16">
        <f>C19+C22-C24-C25</f>
        <v/>
      </c>
      <c r="D26" s="16">
        <f>SUM(B26:C26)</f>
        <v/>
      </c>
    </row>
    <row r="27">
      <c r="A27" s="10" t="inlineStr">
        <is>
          <t>Gewinnmarge</t>
        </is>
      </c>
      <c r="B27" s="17">
        <f>IFERROR(B26/B23,0)</f>
        <v/>
      </c>
      <c r="C27" s="17">
        <f>IFERROR(C26/C23,0)</f>
        <v/>
      </c>
      <c r="D27" s="17">
        <f>IFERROR(D26/D23,0)</f>
        <v/>
      </c>
    </row>
    <row r="28"/>
    <row r="29"/>
    <row r="30">
      <c r="A30" s="5" t="inlineStr">
        <is>
          <t>Break-even</t>
        </is>
      </c>
    </row>
    <row r="31">
      <c r="A31" s="10" t="inlineStr">
        <is>
          <t>Fixkosten gesamt</t>
        </is>
      </c>
      <c r="B31" s="13">
        <f>Eingaben!$B$22</f>
        <v/>
      </c>
    </row>
    <row r="32">
      <c r="A32" s="10" t="inlineStr">
        <is>
          <t>Netto-Werbebeitrag Free</t>
        </is>
      </c>
      <c r="B32" s="13">
        <f>D22-D11*Eingaben!$B$23</f>
        <v/>
      </c>
    </row>
    <row r="33">
      <c r="A33" s="10" t="inlineStr">
        <is>
          <t>Ø Deckungsbeitrag je zahlendem Haushalt</t>
        </is>
      </c>
      <c r="B33" s="13">
        <f>IFERROR(SUMIFS(Detail!$O:$O,Detail!$A:$A,$B$3)/(D12+D13),0)</f>
        <v/>
      </c>
    </row>
    <row r="34">
      <c r="A34" s="10" t="inlineStr">
        <is>
          <t>Break-even bei aktuellem Plus/AI-Mix</t>
        </is>
      </c>
      <c r="B34" s="18">
        <f>IF(B33&lt;=0,"n/a",MAX(0,(B31-B32)/B33))</f>
        <v/>
      </c>
    </row>
    <row r="35">
      <c r="A35" s="10" t="inlineStr">
        <is>
          <t>Aktuell zahlende Haushalte</t>
        </is>
      </c>
      <c r="B35" s="15">
        <f>D12+D13</f>
        <v/>
      </c>
    </row>
    <row r="36">
      <c r="A36" s="10" t="inlineStr">
        <is>
          <t>Abstand zum Break-even</t>
        </is>
      </c>
      <c r="B36" s="15">
        <f>IF(ISNUMBER(B34),B35-B34,"n/a")</f>
        <v/>
      </c>
    </row>
  </sheetData>
  <autoFilter ref="A1:K36"/>
  <mergeCells count="6">
    <mergeCell ref="A1:J1"/>
    <mergeCell ref="A9:D9"/>
    <mergeCell ref="A30:D30"/>
    <mergeCell ref="F9:K9"/>
    <mergeCell ref="A2:J2"/>
    <mergeCell ref="F15:K15"/>
  </mergeCells>
  <conditionalFormatting sqref="B5:D6">
    <cfRule type="cellIs" priority="1" operator="lessThan" dxfId="0">
      <formula>0</formula>
    </cfRule>
  </conditionalFormatting>
  <conditionalFormatting sqref="B34">
    <cfRule type="cellIs" priority="2" operator="lessThanOrEqual" dxfId="1">
      <formula>B35</formula>
    </cfRule>
  </conditionalFormatting>
  <dataValidations count="1">
    <dataValidation sqref="B3" showDropDown="0" showInputMessage="0" showErrorMessage="0" allowBlank="0" type="list">
      <formula1>=Szenarien!$A$6:$A$8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8" customWidth="1" min="4" max="4"/>
    <col width="18" customWidth="1" min="5" max="5"/>
  </cols>
  <sheetData>
    <row r="1">
      <c r="A1" s="1" t="inlineStr">
        <is>
          <t>fam Eingaben</t>
        </is>
      </c>
    </row>
    <row r="2">
      <c r="A2" s="2" t="inlineStr">
        <is>
          <t>Nur gelbe Felder ändern. Alle Berechnungen aktualisieren sich beim Öffnen in Excel automatisch.</t>
        </is>
      </c>
    </row>
    <row r="3"/>
    <row r="4">
      <c r="A4" s="5" t="inlineStr">
        <is>
          <t>1. Preise für zahlende Abos</t>
        </is>
      </c>
    </row>
    <row r="5">
      <c r="A5" s="9" t="inlineStr">
        <is>
          <t>Stufe</t>
        </is>
      </c>
      <c r="B5" s="9" t="inlineStr">
        <is>
          <t>Preis monatlich brutto</t>
        </is>
      </c>
      <c r="C5" s="9" t="inlineStr">
        <is>
          <t>Preis jährlich brutto</t>
        </is>
      </c>
      <c r="D5" s="9" t="inlineStr">
        <is>
          <t>Was bekommt der Haushalt?</t>
        </is>
      </c>
      <c r="E5" s="9" t="inlineStr">
        <is>
          <t>Einheit</t>
        </is>
      </c>
    </row>
    <row r="6">
      <c r="A6" s="10" t="inlineStr">
        <is>
          <t>Plus</t>
        </is>
      </c>
      <c r="B6" s="19" t="n">
        <v>4.99</v>
      </c>
      <c r="C6" s="19" t="n">
        <v>39.99</v>
      </c>
      <c r="D6" s="10" t="inlineStr">
        <is>
          <t>Werbefrei + Automationen</t>
        </is>
      </c>
      <c r="E6" s="10" t="inlineStr">
        <is>
          <t>Euro</t>
        </is>
      </c>
    </row>
    <row r="7">
      <c r="A7" s="10" t="inlineStr">
        <is>
          <t>AI</t>
        </is>
      </c>
      <c r="B7" s="19" t="n">
        <v>8.99</v>
      </c>
      <c r="C7" s="19" t="n">
        <v>69.98999999999999</v>
      </c>
      <c r="D7" s="10" t="inlineStr">
        <is>
          <t>Plus inklusive + KI-Funktionen</t>
        </is>
      </c>
      <c r="E7" s="10" t="inlineStr">
        <is>
          <t>Euro</t>
        </is>
      </c>
    </row>
    <row r="8"/>
    <row r="9"/>
    <row r="10">
      <c r="A10" s="5" t="inlineStr">
        <is>
          <t>2. Gebühren und Steuern</t>
        </is>
      </c>
    </row>
    <row r="11">
      <c r="A11" s="9" t="inlineStr">
        <is>
          <t>Annahme</t>
        </is>
      </c>
      <c r="B11" s="9" t="inlineStr">
        <is>
          <t>Wert</t>
        </is>
      </c>
      <c r="C11" s="9" t="inlineStr">
        <is>
          <t>Wird angewendet auf</t>
        </is>
      </c>
      <c r="D11" s="9" t="inlineStr">
        <is>
          <t>Startwert</t>
        </is>
      </c>
      <c r="E11" s="9" t="inlineStr">
        <is>
          <t>Hinweis</t>
        </is>
      </c>
    </row>
    <row r="12">
      <c r="A12" s="10" t="inlineStr">
        <is>
          <t>VAT / Umsatzsteuer</t>
        </is>
      </c>
      <c r="B12" s="20" t="n">
        <v>0.19</v>
      </c>
      <c r="C12" s="10" t="inlineStr">
        <is>
          <t>Abo-Bruttoumsatz</t>
        </is>
      </c>
      <c r="D12" s="10" t="inlineStr">
        <is>
          <t>editierbar</t>
        </is>
      </c>
      <c r="E12" s="10" t="inlineStr">
        <is>
          <t>Deutschland-Default</t>
        </is>
      </c>
    </row>
    <row r="13">
      <c r="A13" s="10" t="inlineStr">
        <is>
          <t>Apple Store-Gebühr</t>
        </is>
      </c>
      <c r="B13" s="20" t="n">
        <v>0.15</v>
      </c>
      <c r="C13" s="10" t="inlineStr">
        <is>
          <t>Netto-Aboerlös</t>
        </is>
      </c>
      <c r="D13" s="10" t="inlineStr">
        <is>
          <t>editierbar</t>
        </is>
      </c>
      <c r="E13" s="10" t="inlineStr">
        <is>
          <t>Programmabhängig</t>
        </is>
      </c>
    </row>
    <row r="14">
      <c r="A14" s="10" t="inlineStr">
        <is>
          <t>Google Play-Gebühr</t>
        </is>
      </c>
      <c r="B14" s="20" t="n">
        <v>0.15</v>
      </c>
      <c r="C14" s="10" t="inlineStr">
        <is>
          <t>Netto-Aboerlös</t>
        </is>
      </c>
      <c r="D14" s="10" t="inlineStr">
        <is>
          <t>editierbar</t>
        </is>
      </c>
      <c r="E14" s="10" t="inlineStr">
        <is>
          <t>Abo-Default</t>
        </is>
      </c>
    </row>
    <row r="15">
      <c r="A15" s="10" t="inlineStr">
        <is>
          <t>RevenueCat-Gebühr</t>
        </is>
      </c>
      <c r="B15" s="20" t="n">
        <v>0</v>
      </c>
      <c r="C15" s="10" t="inlineStr">
        <is>
          <t>Netto-Aboerlös</t>
        </is>
      </c>
      <c r="D15" s="10" t="inlineStr">
        <is>
          <t>editierbar</t>
        </is>
      </c>
      <c r="E15" s="10" t="inlineStr">
        <is>
          <t>Vertrag prüfen</t>
        </is>
      </c>
    </row>
    <row r="16">
      <c r="A16" s="10" t="inlineStr">
        <is>
          <t>Refund-/Ausfallreserve</t>
        </is>
      </c>
      <c r="B16" s="20" t="n">
        <v>0.02</v>
      </c>
      <c r="C16" s="10" t="inlineStr">
        <is>
          <t>Netto-Aboerlös</t>
        </is>
      </c>
      <c r="D16" s="10" t="inlineStr">
        <is>
          <t>editierbar</t>
        </is>
      </c>
      <c r="E16" s="10" t="inlineStr">
        <is>
          <t>Optional</t>
        </is>
      </c>
    </row>
    <row r="17">
      <c r="A17" s="10" t="inlineStr">
        <is>
          <t>Werbenetzwerk-Gebühr</t>
        </is>
      </c>
      <c r="B17" s="20" t="n">
        <v>0.15</v>
      </c>
      <c r="C17" s="10" t="inlineStr">
        <is>
          <t>Free-Werbeumsatz</t>
        </is>
      </c>
      <c r="D17" s="10" t="inlineStr">
        <is>
          <t>editierbar</t>
        </is>
      </c>
      <c r="E17" s="10" t="inlineStr">
        <is>
          <t>Optional, z. B. AdMob</t>
        </is>
      </c>
    </row>
    <row r="18"/>
    <row r="19"/>
    <row r="20">
      <c r="A20" s="5" t="inlineStr">
        <is>
          <t>3. Monatliche Betriebs- und Infra-Kosten</t>
        </is>
      </c>
    </row>
    <row r="21">
      <c r="A21" s="9" t="inlineStr">
        <is>
          <t>Kosten / Erlös</t>
        </is>
      </c>
      <c r="B21" s="9" t="inlineStr">
        <is>
          <t>Wert</t>
        </is>
      </c>
      <c r="C21" s="9" t="inlineStr">
        <is>
          <t>Berechnung</t>
        </is>
      </c>
      <c r="D21" s="9" t="inlineStr">
        <is>
          <t>Beispiel</t>
        </is>
      </c>
      <c r="E21" s="9" t="inlineStr">
        <is>
          <t>Hinweis</t>
        </is>
      </c>
    </row>
    <row r="22">
      <c r="A22" s="10" t="inlineStr">
        <is>
          <t>Fixkosten gesamt pro Monat</t>
        </is>
      </c>
      <c r="B22" s="19" t="n">
        <v>100</v>
      </c>
      <c r="C22" s="10" t="inlineStr">
        <is>
          <t>einmal pro Monat</t>
        </is>
      </c>
      <c r="D22" s="10" t="inlineStr">
        <is>
          <t>editierbar</t>
        </is>
      </c>
      <c r="E22" s="10" t="inlineStr">
        <is>
          <t>z. B. Supabase, Monitoring, Domains</t>
        </is>
      </c>
    </row>
    <row r="23">
      <c r="A23" s="10" t="inlineStr">
        <is>
          <t>Infra je Free-Nutzer pro Monat</t>
        </is>
      </c>
      <c r="B23" s="19" t="n">
        <v>0.03</v>
      </c>
      <c r="C23" s="10" t="inlineStr">
        <is>
          <t>je aktiver Free-Nutzer</t>
        </is>
      </c>
      <c r="D23" s="10" t="inlineStr">
        <is>
          <t>editierbar</t>
        </is>
      </c>
      <c r="E23" s="10" t="inlineStr">
        <is>
          <t>variable Backend-/Storage-Kosten</t>
        </is>
      </c>
    </row>
    <row r="24">
      <c r="A24" s="10" t="inlineStr">
        <is>
          <t>Infra je zahlendem Haushalt</t>
        </is>
      </c>
      <c r="B24" s="19" t="n">
        <v>0.1</v>
      </c>
      <c r="C24" s="10" t="inlineStr">
        <is>
          <t>je Plus- oder AI-Haushalt</t>
        </is>
      </c>
      <c r="D24" s="10" t="inlineStr">
        <is>
          <t>editierbar</t>
        </is>
      </c>
      <c r="E24" s="10" t="inlineStr">
        <is>
          <t>variable Datenbankkosten</t>
        </is>
      </c>
    </row>
    <row r="25">
      <c r="A25" s="10" t="inlineStr">
        <is>
          <t>KI-Kosten je AI-Haushalt</t>
        </is>
      </c>
      <c r="B25" s="19" t="n">
        <v>0.8</v>
      </c>
      <c r="C25" s="10" t="inlineStr">
        <is>
          <t>zusätzlich je AI-Haushalt</t>
        </is>
      </c>
      <c r="D25" s="10" t="inlineStr">
        <is>
          <t>editierbar</t>
        </is>
      </c>
      <c r="E25" s="10" t="inlineStr">
        <is>
          <t>Modelle, APIs, Sprache</t>
        </is>
      </c>
    </row>
    <row r="26">
      <c r="A26" s="10" t="inlineStr">
        <is>
          <t>Support / sonstige Kosten je Haushalt</t>
        </is>
      </c>
      <c r="B26" s="19" t="n">
        <v>0.05</v>
      </c>
      <c r="C26" s="10" t="inlineStr">
        <is>
          <t>je Plus- oder AI-Haushalt</t>
        </is>
      </c>
      <c r="D26" s="10" t="inlineStr">
        <is>
          <t>editierbar</t>
        </is>
      </c>
      <c r="E26" s="10" t="inlineStr">
        <is>
          <t>optional</t>
        </is>
      </c>
    </row>
    <row r="27">
      <c r="A27" s="10" t="inlineStr">
        <is>
          <t>Free-Werbeumsatz je Nutzer</t>
        </is>
      </c>
      <c r="B27" s="19" t="n">
        <v>0.25</v>
      </c>
      <c r="C27" s="10" t="inlineStr">
        <is>
          <t>brutto je aktivem Free-Nutzer</t>
        </is>
      </c>
      <c r="D27" s="10" t="inlineStr">
        <is>
          <t>editierbar</t>
        </is>
      </c>
      <c r="E27" s="10" t="inlineStr">
        <is>
          <t>Beispielannahme, ersetzen</t>
        </is>
      </c>
    </row>
    <row r="28"/>
    <row r="29"/>
    <row r="30"/>
    <row r="31">
      <c r="A31" s="2" t="inlineStr">
        <is>
          <t>Die gelben Beispielwerte sind bewusst nur Startwerte. Besonders Werbeumsatz, KI-Kosten und Plattformgebühren sollten mit euren echten Abrechnungen ersetzt werden.</t>
        </is>
      </c>
    </row>
  </sheetData>
  <autoFilter ref="A1:E31"/>
  <mergeCells count="6">
    <mergeCell ref="A4:E4"/>
    <mergeCell ref="A20:E20"/>
    <mergeCell ref="A2:E2"/>
    <mergeCell ref="A10:E10"/>
    <mergeCell ref="A1:E1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fam Szenarien</t>
        </is>
      </c>
    </row>
    <row r="2">
      <c r="A2" s="2" t="inlineStr">
        <is>
          <t>Tragt hier Nutzerzahlen und zahlende Haushalte ein. Jahresabos werden in der Auswertung auf eine monatliche Run-Rate umgerechnet.</t>
        </is>
      </c>
    </row>
    <row r="3"/>
    <row r="4">
      <c r="A4" s="5" t="inlineStr">
        <is>
          <t>Gelbe Felder: Szenario-Annahmen</t>
        </is>
      </c>
    </row>
    <row r="5" ht="38" customHeight="1">
      <c r="A5" s="9" t="inlineStr">
        <is>
          <t>Szenario</t>
        </is>
      </c>
      <c r="B5" s="9" t="inlineStr">
        <is>
          <t>Free Apple</t>
        </is>
      </c>
      <c r="C5" s="9" t="inlineStr">
        <is>
          <t>Free Google</t>
        </is>
      </c>
      <c r="D5" s="9" t="inlineStr">
        <is>
          <t>Plus Apple
Monat</t>
        </is>
      </c>
      <c r="E5" s="9" t="inlineStr">
        <is>
          <t>Plus Apple
Jahr</t>
        </is>
      </c>
      <c r="F5" s="9" t="inlineStr">
        <is>
          <t>AI Apple
Monat</t>
        </is>
      </c>
      <c r="G5" s="9" t="inlineStr">
        <is>
          <t>AI Apple
Jahr</t>
        </is>
      </c>
      <c r="H5" s="9" t="inlineStr">
        <is>
          <t>Plus Google
Monat</t>
        </is>
      </c>
      <c r="I5" s="9" t="inlineStr">
        <is>
          <t>Plus Google
Jahr</t>
        </is>
      </c>
      <c r="J5" s="9" t="inlineStr">
        <is>
          <t>AI Google
Monat</t>
        </is>
      </c>
      <c r="K5" s="9" t="inlineStr">
        <is>
          <t>AI Google
Jahr</t>
        </is>
      </c>
    </row>
    <row r="6">
      <c r="A6" s="21" t="inlineStr">
        <is>
          <t>Konservativ</t>
        </is>
      </c>
      <c r="B6" s="22" t="n">
        <v>600</v>
      </c>
      <c r="C6" s="22" t="n">
        <v>400</v>
      </c>
      <c r="D6" s="22" t="n">
        <v>20</v>
      </c>
      <c r="E6" s="22" t="n">
        <v>30</v>
      </c>
      <c r="F6" s="22" t="n">
        <v>2</v>
      </c>
      <c r="G6" s="22" t="n">
        <v>3</v>
      </c>
      <c r="H6" s="22" t="n">
        <v>15</v>
      </c>
      <c r="I6" s="22" t="n">
        <v>20</v>
      </c>
      <c r="J6" s="22" t="n">
        <v>1</v>
      </c>
      <c r="K6" s="22" t="n">
        <v>2</v>
      </c>
    </row>
    <row r="7">
      <c r="A7" s="21" t="inlineStr">
        <is>
          <t>Basis</t>
        </is>
      </c>
      <c r="B7" s="22" t="n">
        <v>3000</v>
      </c>
      <c r="C7" s="22" t="n">
        <v>2000</v>
      </c>
      <c r="D7" s="22" t="n">
        <v>90</v>
      </c>
      <c r="E7" s="22" t="n">
        <v>110</v>
      </c>
      <c r="F7" s="22" t="n">
        <v>10</v>
      </c>
      <c r="G7" s="22" t="n">
        <v>15</v>
      </c>
      <c r="H7" s="22" t="n">
        <v>70</v>
      </c>
      <c r="I7" s="22" t="n">
        <v>80</v>
      </c>
      <c r="J7" s="22" t="n">
        <v>8</v>
      </c>
      <c r="K7" s="22" t="n">
        <v>12</v>
      </c>
    </row>
    <row r="8">
      <c r="A8" s="21" t="inlineStr">
        <is>
          <t>Wachstum</t>
        </is>
      </c>
      <c r="B8" s="22" t="n">
        <v>15000</v>
      </c>
      <c r="C8" s="22" t="n">
        <v>10000</v>
      </c>
      <c r="D8" s="22" t="n">
        <v>450</v>
      </c>
      <c r="E8" s="22" t="n">
        <v>550</v>
      </c>
      <c r="F8" s="22" t="n">
        <v>60</v>
      </c>
      <c r="G8" s="22" t="n">
        <v>90</v>
      </c>
      <c r="H8" s="22" t="n">
        <v>350</v>
      </c>
      <c r="I8" s="22" t="n">
        <v>450</v>
      </c>
      <c r="J8" s="22" t="n">
        <v>50</v>
      </c>
      <c r="K8" s="22" t="n">
        <v>80</v>
      </c>
    </row>
    <row r="9"/>
    <row r="10"/>
    <row r="11">
      <c r="A11" s="5" t="inlineStr">
        <is>
          <t>Automatisch berechnete Szenario-Ergebnisse</t>
        </is>
      </c>
    </row>
    <row r="12" ht="45" customHeight="1">
      <c r="A12" s="9" t="inlineStr">
        <is>
          <t>Szenario</t>
        </is>
      </c>
      <c r="B12" s="9" t="inlineStr">
        <is>
          <t>Free gesamt</t>
        </is>
      </c>
      <c r="C12" s="9" t="inlineStr">
        <is>
          <t>Plus gesamt</t>
        </is>
      </c>
      <c r="D12" s="9" t="inlineStr">
        <is>
          <t>AI gesamt</t>
        </is>
      </c>
      <c r="E12" s="9" t="inlineStr">
        <is>
          <t>Abo-Brutto / Monat</t>
        </is>
      </c>
      <c r="F12" s="9" t="inlineStr">
        <is>
          <t>VAT</t>
        </is>
      </c>
      <c r="G12" s="9" t="inlineStr">
        <is>
          <t>Store-Gebühr</t>
        </is>
      </c>
      <c r="H12" s="9" t="inlineStr">
        <is>
          <t>RevenueCat</t>
        </is>
      </c>
      <c r="I12" s="9" t="inlineStr">
        <is>
          <t>Reserve</t>
        </is>
      </c>
      <c r="J12" s="9" t="inlineStr">
        <is>
          <t>Werbung brutto</t>
        </is>
      </c>
      <c r="K12" s="9" t="inlineStr">
        <is>
          <t>Werbenetzwerk-Gebühr</t>
        </is>
      </c>
      <c r="L12" s="9" t="inlineStr">
        <is>
          <t>Werbung netto</t>
        </is>
      </c>
      <c r="M12" s="9" t="inlineStr">
        <is>
          <t>Variable Infra</t>
        </is>
      </c>
      <c r="N12" s="9" t="inlineStr">
        <is>
          <t>Fixkosten</t>
        </is>
      </c>
      <c r="O12" s="9" t="inlineStr">
        <is>
          <t>Echter Gewinn</t>
        </is>
      </c>
      <c r="P12" s="9" t="inlineStr">
        <is>
          <t>Gewinnmarge</t>
        </is>
      </c>
      <c r="Q12" s="9" t="inlineStr">
        <is>
          <t>Zahlende Haushalte</t>
        </is>
      </c>
      <c r="R12" s="9" t="inlineStr">
        <is>
          <t>Ø Beitrag je Abo</t>
        </is>
      </c>
      <c r="S12" s="9" t="inlineStr">
        <is>
          <t>Break-even Haushalte</t>
        </is>
      </c>
      <c r="T12" s="9" t="inlineStr">
        <is>
          <t>Apple Abo-Brutto</t>
        </is>
      </c>
      <c r="U12" s="9" t="inlineStr">
        <is>
          <t>Google Abo-Brutto</t>
        </is>
      </c>
      <c r="V12" s="9" t="inlineStr">
        <is>
          <t>Apple echter Gewinn</t>
        </is>
      </c>
      <c r="W12" s="9" t="inlineStr">
        <is>
          <t>Google echter Gewinn</t>
        </is>
      </c>
    </row>
    <row r="13">
      <c r="A13" s="23">
        <f>A6</f>
        <v/>
      </c>
      <c r="B13" s="23">
        <f>B6+C6</f>
        <v/>
      </c>
      <c r="C13" s="23">
        <f>D6+E6+H6+I6</f>
        <v/>
      </c>
      <c r="D13" s="23">
        <f>F6+G6+J6+K6</f>
        <v/>
      </c>
      <c r="E13" s="24">
        <f>SUMIFS(Detail!$G:$G,Detail!$A:$A,$A13)</f>
        <v/>
      </c>
      <c r="F13" s="24">
        <f>SUMIFS(Detail!$H:$H,Detail!$A:$A,$A13)</f>
        <v/>
      </c>
      <c r="G13" s="24">
        <f>SUMIFS(Detail!$J:$J,Detail!$A:$A,$A13)</f>
        <v/>
      </c>
      <c r="H13" s="24">
        <f>SUMIFS(Detail!$K:$K,Detail!$A:$A,$A13)</f>
        <v/>
      </c>
      <c r="I13" s="24">
        <f>SUMIFS(Detail!$L:$L,Detail!$A:$A,$A13)</f>
        <v/>
      </c>
      <c r="J13" s="24">
        <f>B13*Eingaben!$B$27</f>
        <v/>
      </c>
      <c r="K13" s="24">
        <f>J13*Eingaben!$B$17</f>
        <v/>
      </c>
      <c r="L13" s="24">
        <f>J13-K13</f>
        <v/>
      </c>
      <c r="M13" s="24">
        <f>SUMIFS(Detail!$N:$N,Detail!$A:$A,$A13)+B13*Eingaben!$B$23</f>
        <v/>
      </c>
      <c r="N13" s="24">
        <f>Eingaben!$B$22</f>
        <v/>
      </c>
      <c r="O13" s="24">
        <f>SUMIFS(Detail!$O:$O,Detail!$A:$A,$A13)+L13-M13-N13</f>
        <v/>
      </c>
      <c r="P13" s="25">
        <f>IFERROR(O13/(E13+J13),0)</f>
        <v/>
      </c>
      <c r="Q13" s="23">
        <f>C13+D13</f>
        <v/>
      </c>
      <c r="R13" s="24">
        <f>IFERROR(SUMIFS(Detail!$O:$O,Detail!$A:$A,$A13)/Q13,0)</f>
        <v/>
      </c>
      <c r="S13" s="26">
        <f>IF(R13&lt;=0,"n/a",MAX(0,(N13-(L13-B13*Eingaben!$B$23))/R13))</f>
        <v/>
      </c>
      <c r="T13" s="24">
        <f>SUMIFS(Detail!$G:$G,Detail!$A:$A,$A13,Detail!$B:$B,"Apple")</f>
        <v/>
      </c>
      <c r="U13" s="24">
        <f>SUMIFS(Detail!$G:$G,Detail!$A:$A,$A13,Detail!$B:$B,"Google")</f>
        <v/>
      </c>
      <c r="V13" s="24">
        <f>SUMIFS(Detail!$O:$O,Detail!$A:$A,$A13,Detail!$B:$B,"Apple")+B6*Eingaben!$B$27*(1-Eingaben!$B$17)-B6*Eingaben!$B$23-Eingaben!$B$22*(B6+D6+E6+F6+G6)/((B6+D6+E6+F6+G6)+(C6+H6+I6+J6+K6))</f>
        <v/>
      </c>
      <c r="W13" s="24">
        <f>SUMIFS(Detail!$O:$O,Detail!$A:$A,$A13,Detail!$B:$B,"Google")+C6*Eingaben!$B$27*(1-Eingaben!$B$17)-C6*Eingaben!$B$23-Eingaben!$B$22*(C6+H6+I6+J6+K6)/((B6+D6+E6+F6+G6)+(C6+H6+I6+J6+K6))</f>
        <v/>
      </c>
    </row>
    <row r="14">
      <c r="A14" s="23">
        <f>A7</f>
        <v/>
      </c>
      <c r="B14" s="23">
        <f>B7+C7</f>
        <v/>
      </c>
      <c r="C14" s="23">
        <f>D7+E7+H7+I7</f>
        <v/>
      </c>
      <c r="D14" s="23">
        <f>F7+G7+J7+K7</f>
        <v/>
      </c>
      <c r="E14" s="24">
        <f>SUMIFS(Detail!$G:$G,Detail!$A:$A,$A14)</f>
        <v/>
      </c>
      <c r="F14" s="24">
        <f>SUMIFS(Detail!$H:$H,Detail!$A:$A,$A14)</f>
        <v/>
      </c>
      <c r="G14" s="24">
        <f>SUMIFS(Detail!$J:$J,Detail!$A:$A,$A14)</f>
        <v/>
      </c>
      <c r="H14" s="24">
        <f>SUMIFS(Detail!$K:$K,Detail!$A:$A,$A14)</f>
        <v/>
      </c>
      <c r="I14" s="24">
        <f>SUMIFS(Detail!$L:$L,Detail!$A:$A,$A14)</f>
        <v/>
      </c>
      <c r="J14" s="24">
        <f>B14*Eingaben!$B$27</f>
        <v/>
      </c>
      <c r="K14" s="24">
        <f>J14*Eingaben!$B$17</f>
        <v/>
      </c>
      <c r="L14" s="24">
        <f>J14-K14</f>
        <v/>
      </c>
      <c r="M14" s="24">
        <f>SUMIFS(Detail!$N:$N,Detail!$A:$A,$A14)+B14*Eingaben!$B$23</f>
        <v/>
      </c>
      <c r="N14" s="24">
        <f>Eingaben!$B$22</f>
        <v/>
      </c>
      <c r="O14" s="24">
        <f>SUMIFS(Detail!$O:$O,Detail!$A:$A,$A14)+L14-M14-N14</f>
        <v/>
      </c>
      <c r="P14" s="25">
        <f>IFERROR(O14/(E14+J14),0)</f>
        <v/>
      </c>
      <c r="Q14" s="23">
        <f>C14+D14</f>
        <v/>
      </c>
      <c r="R14" s="24">
        <f>IFERROR(SUMIFS(Detail!$O:$O,Detail!$A:$A,$A14)/Q14,0)</f>
        <v/>
      </c>
      <c r="S14" s="26">
        <f>IF(R14&lt;=0,"n/a",MAX(0,(N14-(L14-B14*Eingaben!$B$23))/R14))</f>
        <v/>
      </c>
      <c r="T14" s="24">
        <f>SUMIFS(Detail!$G:$G,Detail!$A:$A,$A14,Detail!$B:$B,"Apple")</f>
        <v/>
      </c>
      <c r="U14" s="24">
        <f>SUMIFS(Detail!$G:$G,Detail!$A:$A,$A14,Detail!$B:$B,"Google")</f>
        <v/>
      </c>
      <c r="V14" s="24">
        <f>SUMIFS(Detail!$O:$O,Detail!$A:$A,$A14,Detail!$B:$B,"Apple")+B7*Eingaben!$B$27*(1-Eingaben!$B$17)-B7*Eingaben!$B$23-Eingaben!$B$22*(B7+D7+E7+F7+G7)/((B7+D7+E7+F7+G7)+(C7+H7+I7+J7+K7))</f>
        <v/>
      </c>
      <c r="W14" s="24">
        <f>SUMIFS(Detail!$O:$O,Detail!$A:$A,$A14,Detail!$B:$B,"Google")+C7*Eingaben!$B$27*(1-Eingaben!$B$17)-C7*Eingaben!$B$23-Eingaben!$B$22*(C7+H7+I7+J7+K7)/((B7+D7+E7+F7+G7)+(C7+H7+I7+J7+K7))</f>
        <v/>
      </c>
    </row>
    <row r="15">
      <c r="A15" s="23">
        <f>A8</f>
        <v/>
      </c>
      <c r="B15" s="23">
        <f>B8+C8</f>
        <v/>
      </c>
      <c r="C15" s="23">
        <f>D8+E8+H8+I8</f>
        <v/>
      </c>
      <c r="D15" s="23">
        <f>F8+G8+J8+K8</f>
        <v/>
      </c>
      <c r="E15" s="24">
        <f>SUMIFS(Detail!$G:$G,Detail!$A:$A,$A15)</f>
        <v/>
      </c>
      <c r="F15" s="24">
        <f>SUMIFS(Detail!$H:$H,Detail!$A:$A,$A15)</f>
        <v/>
      </c>
      <c r="G15" s="24">
        <f>SUMIFS(Detail!$J:$J,Detail!$A:$A,$A15)</f>
        <v/>
      </c>
      <c r="H15" s="24">
        <f>SUMIFS(Detail!$K:$K,Detail!$A:$A,$A15)</f>
        <v/>
      </c>
      <c r="I15" s="24">
        <f>SUMIFS(Detail!$L:$L,Detail!$A:$A,$A15)</f>
        <v/>
      </c>
      <c r="J15" s="24">
        <f>B15*Eingaben!$B$27</f>
        <v/>
      </c>
      <c r="K15" s="24">
        <f>J15*Eingaben!$B$17</f>
        <v/>
      </c>
      <c r="L15" s="24">
        <f>J15-K15</f>
        <v/>
      </c>
      <c r="M15" s="24">
        <f>SUMIFS(Detail!$N:$N,Detail!$A:$A,$A15)+B15*Eingaben!$B$23</f>
        <v/>
      </c>
      <c r="N15" s="24">
        <f>Eingaben!$B$22</f>
        <v/>
      </c>
      <c r="O15" s="24">
        <f>SUMIFS(Detail!$O:$O,Detail!$A:$A,$A15)+L15-M15-N15</f>
        <v/>
      </c>
      <c r="P15" s="25">
        <f>IFERROR(O15/(E15+J15),0)</f>
        <v/>
      </c>
      <c r="Q15" s="23">
        <f>C15+D15</f>
        <v/>
      </c>
      <c r="R15" s="24">
        <f>IFERROR(SUMIFS(Detail!$O:$O,Detail!$A:$A,$A15)/Q15,0)</f>
        <v/>
      </c>
      <c r="S15" s="26">
        <f>IF(R15&lt;=0,"n/a",MAX(0,(N15-(L15-B15*Eingaben!$B$23))/R15))</f>
        <v/>
      </c>
      <c r="T15" s="24">
        <f>SUMIFS(Detail!$G:$G,Detail!$A:$A,$A15,Detail!$B:$B,"Apple")</f>
        <v/>
      </c>
      <c r="U15" s="24">
        <f>SUMIFS(Detail!$G:$G,Detail!$A:$A,$A15,Detail!$B:$B,"Google")</f>
        <v/>
      </c>
      <c r="V15" s="24">
        <f>SUMIFS(Detail!$O:$O,Detail!$A:$A,$A15,Detail!$B:$B,"Apple")+B8*Eingaben!$B$27*(1-Eingaben!$B$17)-B8*Eingaben!$B$23-Eingaben!$B$22*(B8+D8+E8+F8+G8)/((B8+D8+E8+F8+G8)+(C8+H8+I8+J8+K8))</f>
        <v/>
      </c>
      <c r="W15" s="24">
        <f>SUMIFS(Detail!$O:$O,Detail!$A:$A,$A15,Detail!$B:$B,"Google")+C8*Eingaben!$B$27*(1-Eingaben!$B$17)-C8*Eingaben!$B$23-Eingaben!$B$22*(C8+H8+I8+J8+K8)/((B8+D8+E8+F8+G8)+(C8+H8+I8+J8+K8))</f>
        <v/>
      </c>
    </row>
  </sheetData>
  <autoFilter ref="A1:AG15"/>
  <mergeCells count="4">
    <mergeCell ref="A2:AG2"/>
    <mergeCell ref="A1:AG1"/>
    <mergeCell ref="A11:AG11"/>
    <mergeCell ref="A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Detailrechnung</t>
        </is>
      </c>
    </row>
    <row r="2">
      <c r="A2" s="2" t="inlineStr">
        <is>
          <t>Monatliche Run-Rate. Bei Jahresabos wird der Jahrespreis durch 12 geteilt. VAT wird vor Store-Gebühren abgezogen.</t>
        </is>
      </c>
    </row>
    <row r="3"/>
    <row r="4" ht="42" customHeight="1">
      <c r="A4" s="9" t="inlineStr">
        <is>
          <t>Szenario</t>
        </is>
      </c>
      <c r="B4" s="9" t="inlineStr">
        <is>
          <t>Store</t>
        </is>
      </c>
      <c r="C4" s="9" t="inlineStr">
        <is>
          <t>Stufe</t>
        </is>
      </c>
      <c r="D4" s="9" t="inlineStr">
        <is>
          <t>Periode</t>
        </is>
      </c>
      <c r="E4" s="9" t="inlineStr">
        <is>
          <t>Abos</t>
        </is>
      </c>
      <c r="F4" s="9" t="inlineStr">
        <is>
          <t>Preis brutto / Periode</t>
        </is>
      </c>
      <c r="G4" s="9" t="inlineStr">
        <is>
          <t>Brutto / Monat</t>
        </is>
      </c>
      <c r="H4" s="9" t="inlineStr">
        <is>
          <t>VAT</t>
        </is>
      </c>
      <c r="I4" s="9" t="inlineStr">
        <is>
          <t>Netto vor Store-Gebühr</t>
        </is>
      </c>
      <c r="J4" s="9" t="inlineStr">
        <is>
          <t>Store-Gebühr</t>
        </is>
      </c>
      <c r="K4" s="9" t="inlineStr">
        <is>
          <t>RevenueCat</t>
        </is>
      </c>
      <c r="L4" s="9" t="inlineStr">
        <is>
          <t>Reserve</t>
        </is>
      </c>
      <c r="M4" s="9" t="inlineStr">
        <is>
          <t>Auszahlung nach Gebühren</t>
        </is>
      </c>
      <c r="N4" s="9" t="inlineStr">
        <is>
          <t>Variable Infra</t>
        </is>
      </c>
      <c r="O4" s="9" t="inlineStr">
        <is>
          <t>Beitrag vor Fixkosten</t>
        </is>
      </c>
    </row>
    <row r="5">
      <c r="A5" s="23">
        <f>Szenarien!$A$6</f>
        <v/>
      </c>
      <c r="B5" s="23" t="inlineStr">
        <is>
          <t>Apple</t>
        </is>
      </c>
      <c r="C5" s="23" t="inlineStr">
        <is>
          <t>Plus</t>
        </is>
      </c>
      <c r="D5" s="23" t="inlineStr">
        <is>
          <t>Monat</t>
        </is>
      </c>
      <c r="E5" s="26">
        <f>Szenarien!$D$6</f>
        <v/>
      </c>
      <c r="F5" s="24">
        <f>Eingaben!$B$6</f>
        <v/>
      </c>
      <c r="G5" s="24">
        <f>IF(D5="Jahr",E5*F5/12,E5*F5)</f>
        <v/>
      </c>
      <c r="H5" s="24">
        <f>G5*Eingaben!$B$12/(1+Eingaben!$B$12)</f>
        <v/>
      </c>
      <c r="I5" s="24">
        <f>G5-H5</f>
        <v/>
      </c>
      <c r="J5" s="24">
        <f>I5*Eingaben!$B$13</f>
        <v/>
      </c>
      <c r="K5" s="24">
        <f>I5*Eingaben!$B$15</f>
        <v/>
      </c>
      <c r="L5" s="24">
        <f>I5*Eingaben!$B$16</f>
        <v/>
      </c>
      <c r="M5" s="24">
        <f>I5-J5-K5-L5</f>
        <v/>
      </c>
      <c r="N5" s="24">
        <f>E5*(Eingaben!$B$24+Eingaben!$B$26+IF(C5="AI",Eingaben!$B$25,0))</f>
        <v/>
      </c>
      <c r="O5" s="24">
        <f>M5-N5</f>
        <v/>
      </c>
    </row>
    <row r="6">
      <c r="A6" s="23">
        <f>Szenarien!$A$6</f>
        <v/>
      </c>
      <c r="B6" s="23" t="inlineStr">
        <is>
          <t>Apple</t>
        </is>
      </c>
      <c r="C6" s="23" t="inlineStr">
        <is>
          <t>Plus</t>
        </is>
      </c>
      <c r="D6" s="23" t="inlineStr">
        <is>
          <t>Jahr</t>
        </is>
      </c>
      <c r="E6" s="26">
        <f>Szenarien!$E$6</f>
        <v/>
      </c>
      <c r="F6" s="24">
        <f>Eingaben!$C$6</f>
        <v/>
      </c>
      <c r="G6" s="24">
        <f>IF(D6="Jahr",E6*F6/12,E6*F6)</f>
        <v/>
      </c>
      <c r="H6" s="24">
        <f>G6*Eingaben!$B$12/(1+Eingaben!$B$12)</f>
        <v/>
      </c>
      <c r="I6" s="24">
        <f>G6-H6</f>
        <v/>
      </c>
      <c r="J6" s="24">
        <f>I6*Eingaben!$B$13</f>
        <v/>
      </c>
      <c r="K6" s="24">
        <f>I6*Eingaben!$B$15</f>
        <v/>
      </c>
      <c r="L6" s="24">
        <f>I6*Eingaben!$B$16</f>
        <v/>
      </c>
      <c r="M6" s="24">
        <f>I6-J6-K6-L6</f>
        <v/>
      </c>
      <c r="N6" s="24">
        <f>E6*(Eingaben!$B$24+Eingaben!$B$26+IF(C6="AI",Eingaben!$B$25,0))</f>
        <v/>
      </c>
      <c r="O6" s="24">
        <f>M6-N6</f>
        <v/>
      </c>
    </row>
    <row r="7">
      <c r="A7" s="23">
        <f>Szenarien!$A$6</f>
        <v/>
      </c>
      <c r="B7" s="23" t="inlineStr">
        <is>
          <t>Apple</t>
        </is>
      </c>
      <c r="C7" s="23" t="inlineStr">
        <is>
          <t>AI</t>
        </is>
      </c>
      <c r="D7" s="23" t="inlineStr">
        <is>
          <t>Monat</t>
        </is>
      </c>
      <c r="E7" s="26">
        <f>Szenarien!$F$6</f>
        <v/>
      </c>
      <c r="F7" s="24">
        <f>Eingaben!$B$7</f>
        <v/>
      </c>
      <c r="G7" s="24">
        <f>IF(D7="Jahr",E7*F7/12,E7*F7)</f>
        <v/>
      </c>
      <c r="H7" s="24">
        <f>G7*Eingaben!$B$12/(1+Eingaben!$B$12)</f>
        <v/>
      </c>
      <c r="I7" s="24">
        <f>G7-H7</f>
        <v/>
      </c>
      <c r="J7" s="24">
        <f>I7*Eingaben!$B$13</f>
        <v/>
      </c>
      <c r="K7" s="24">
        <f>I7*Eingaben!$B$15</f>
        <v/>
      </c>
      <c r="L7" s="24">
        <f>I7*Eingaben!$B$16</f>
        <v/>
      </c>
      <c r="M7" s="24">
        <f>I7-J7-K7-L7</f>
        <v/>
      </c>
      <c r="N7" s="24">
        <f>E7*(Eingaben!$B$24+Eingaben!$B$26+IF(C7="AI",Eingaben!$B$25,0))</f>
        <v/>
      </c>
      <c r="O7" s="24">
        <f>M7-N7</f>
        <v/>
      </c>
    </row>
    <row r="8">
      <c r="A8" s="23">
        <f>Szenarien!$A$6</f>
        <v/>
      </c>
      <c r="B8" s="23" t="inlineStr">
        <is>
          <t>Apple</t>
        </is>
      </c>
      <c r="C8" s="23" t="inlineStr">
        <is>
          <t>AI</t>
        </is>
      </c>
      <c r="D8" s="23" t="inlineStr">
        <is>
          <t>Jahr</t>
        </is>
      </c>
      <c r="E8" s="26">
        <f>Szenarien!$G$6</f>
        <v/>
      </c>
      <c r="F8" s="24">
        <f>Eingaben!$C$7</f>
        <v/>
      </c>
      <c r="G8" s="24">
        <f>IF(D8="Jahr",E8*F8/12,E8*F8)</f>
        <v/>
      </c>
      <c r="H8" s="24">
        <f>G8*Eingaben!$B$12/(1+Eingaben!$B$12)</f>
        <v/>
      </c>
      <c r="I8" s="24">
        <f>G8-H8</f>
        <v/>
      </c>
      <c r="J8" s="24">
        <f>I8*Eingaben!$B$13</f>
        <v/>
      </c>
      <c r="K8" s="24">
        <f>I8*Eingaben!$B$15</f>
        <v/>
      </c>
      <c r="L8" s="24">
        <f>I8*Eingaben!$B$16</f>
        <v/>
      </c>
      <c r="M8" s="24">
        <f>I8-J8-K8-L8</f>
        <v/>
      </c>
      <c r="N8" s="24">
        <f>E8*(Eingaben!$B$24+Eingaben!$B$26+IF(C8="AI",Eingaben!$B$25,0))</f>
        <v/>
      </c>
      <c r="O8" s="24">
        <f>M8-N8</f>
        <v/>
      </c>
    </row>
    <row r="9">
      <c r="A9" s="23">
        <f>Szenarien!$A$6</f>
        <v/>
      </c>
      <c r="B9" s="23" t="inlineStr">
        <is>
          <t>Google</t>
        </is>
      </c>
      <c r="C9" s="23" t="inlineStr">
        <is>
          <t>Plus</t>
        </is>
      </c>
      <c r="D9" s="23" t="inlineStr">
        <is>
          <t>Monat</t>
        </is>
      </c>
      <c r="E9" s="26">
        <f>Szenarien!$H$6</f>
        <v/>
      </c>
      <c r="F9" s="24">
        <f>Eingaben!$B$6</f>
        <v/>
      </c>
      <c r="G9" s="24">
        <f>IF(D9="Jahr",E9*F9/12,E9*F9)</f>
        <v/>
      </c>
      <c r="H9" s="24">
        <f>G9*Eingaben!$B$12/(1+Eingaben!$B$12)</f>
        <v/>
      </c>
      <c r="I9" s="24">
        <f>G9-H9</f>
        <v/>
      </c>
      <c r="J9" s="24">
        <f>I9*Eingaben!$B$14</f>
        <v/>
      </c>
      <c r="K9" s="24">
        <f>I9*Eingaben!$B$15</f>
        <v/>
      </c>
      <c r="L9" s="24">
        <f>I9*Eingaben!$B$16</f>
        <v/>
      </c>
      <c r="M9" s="24">
        <f>I9-J9-K9-L9</f>
        <v/>
      </c>
      <c r="N9" s="24">
        <f>E9*(Eingaben!$B$24+Eingaben!$B$26+IF(C9="AI",Eingaben!$B$25,0))</f>
        <v/>
      </c>
      <c r="O9" s="24">
        <f>M9-N9</f>
        <v/>
      </c>
    </row>
    <row r="10">
      <c r="A10" s="23">
        <f>Szenarien!$A$6</f>
        <v/>
      </c>
      <c r="B10" s="23" t="inlineStr">
        <is>
          <t>Google</t>
        </is>
      </c>
      <c r="C10" s="23" t="inlineStr">
        <is>
          <t>Plus</t>
        </is>
      </c>
      <c r="D10" s="23" t="inlineStr">
        <is>
          <t>Jahr</t>
        </is>
      </c>
      <c r="E10" s="26">
        <f>Szenarien!$I$6</f>
        <v/>
      </c>
      <c r="F10" s="24">
        <f>Eingaben!$C$6</f>
        <v/>
      </c>
      <c r="G10" s="24">
        <f>IF(D10="Jahr",E10*F10/12,E10*F10)</f>
        <v/>
      </c>
      <c r="H10" s="24">
        <f>G10*Eingaben!$B$12/(1+Eingaben!$B$12)</f>
        <v/>
      </c>
      <c r="I10" s="24">
        <f>G10-H10</f>
        <v/>
      </c>
      <c r="J10" s="24">
        <f>I10*Eingaben!$B$14</f>
        <v/>
      </c>
      <c r="K10" s="24">
        <f>I10*Eingaben!$B$15</f>
        <v/>
      </c>
      <c r="L10" s="24">
        <f>I10*Eingaben!$B$16</f>
        <v/>
      </c>
      <c r="M10" s="24">
        <f>I10-J10-K10-L10</f>
        <v/>
      </c>
      <c r="N10" s="24">
        <f>E10*(Eingaben!$B$24+Eingaben!$B$26+IF(C10="AI",Eingaben!$B$25,0))</f>
        <v/>
      </c>
      <c r="O10" s="24">
        <f>M10-N10</f>
        <v/>
      </c>
    </row>
    <row r="11">
      <c r="A11" s="23">
        <f>Szenarien!$A$6</f>
        <v/>
      </c>
      <c r="B11" s="23" t="inlineStr">
        <is>
          <t>Google</t>
        </is>
      </c>
      <c r="C11" s="23" t="inlineStr">
        <is>
          <t>AI</t>
        </is>
      </c>
      <c r="D11" s="23" t="inlineStr">
        <is>
          <t>Monat</t>
        </is>
      </c>
      <c r="E11" s="26">
        <f>Szenarien!$J$6</f>
        <v/>
      </c>
      <c r="F11" s="24">
        <f>Eingaben!$B$7</f>
        <v/>
      </c>
      <c r="G11" s="24">
        <f>IF(D11="Jahr",E11*F11/12,E11*F11)</f>
        <v/>
      </c>
      <c r="H11" s="24">
        <f>G11*Eingaben!$B$12/(1+Eingaben!$B$12)</f>
        <v/>
      </c>
      <c r="I11" s="24">
        <f>G11-H11</f>
        <v/>
      </c>
      <c r="J11" s="24">
        <f>I11*Eingaben!$B$14</f>
        <v/>
      </c>
      <c r="K11" s="24">
        <f>I11*Eingaben!$B$15</f>
        <v/>
      </c>
      <c r="L11" s="24">
        <f>I11*Eingaben!$B$16</f>
        <v/>
      </c>
      <c r="M11" s="24">
        <f>I11-J11-K11-L11</f>
        <v/>
      </c>
      <c r="N11" s="24">
        <f>E11*(Eingaben!$B$24+Eingaben!$B$26+IF(C11="AI",Eingaben!$B$25,0))</f>
        <v/>
      </c>
      <c r="O11" s="24">
        <f>M11-N11</f>
        <v/>
      </c>
    </row>
    <row r="12">
      <c r="A12" s="23">
        <f>Szenarien!$A$6</f>
        <v/>
      </c>
      <c r="B12" s="23" t="inlineStr">
        <is>
          <t>Google</t>
        </is>
      </c>
      <c r="C12" s="23" t="inlineStr">
        <is>
          <t>AI</t>
        </is>
      </c>
      <c r="D12" s="23" t="inlineStr">
        <is>
          <t>Jahr</t>
        </is>
      </c>
      <c r="E12" s="26">
        <f>Szenarien!$K$6</f>
        <v/>
      </c>
      <c r="F12" s="24">
        <f>Eingaben!$C$7</f>
        <v/>
      </c>
      <c r="G12" s="24">
        <f>IF(D12="Jahr",E12*F12/12,E12*F12)</f>
        <v/>
      </c>
      <c r="H12" s="24">
        <f>G12*Eingaben!$B$12/(1+Eingaben!$B$12)</f>
        <v/>
      </c>
      <c r="I12" s="24">
        <f>G12-H12</f>
        <v/>
      </c>
      <c r="J12" s="24">
        <f>I12*Eingaben!$B$14</f>
        <v/>
      </c>
      <c r="K12" s="24">
        <f>I12*Eingaben!$B$15</f>
        <v/>
      </c>
      <c r="L12" s="24">
        <f>I12*Eingaben!$B$16</f>
        <v/>
      </c>
      <c r="M12" s="24">
        <f>I12-J12-K12-L12</f>
        <v/>
      </c>
      <c r="N12" s="24">
        <f>E12*(Eingaben!$B$24+Eingaben!$B$26+IF(C12="AI",Eingaben!$B$25,0))</f>
        <v/>
      </c>
      <c r="O12" s="24">
        <f>M12-N12</f>
        <v/>
      </c>
    </row>
    <row r="13">
      <c r="A13" s="23">
        <f>Szenarien!$A$7</f>
        <v/>
      </c>
      <c r="B13" s="23" t="inlineStr">
        <is>
          <t>Apple</t>
        </is>
      </c>
      <c r="C13" s="23" t="inlineStr">
        <is>
          <t>Plus</t>
        </is>
      </c>
      <c r="D13" s="23" t="inlineStr">
        <is>
          <t>Monat</t>
        </is>
      </c>
      <c r="E13" s="26">
        <f>Szenarien!$D$7</f>
        <v/>
      </c>
      <c r="F13" s="24">
        <f>Eingaben!$B$6</f>
        <v/>
      </c>
      <c r="G13" s="24">
        <f>IF(D13="Jahr",E13*F13/12,E13*F13)</f>
        <v/>
      </c>
      <c r="H13" s="24">
        <f>G13*Eingaben!$B$12/(1+Eingaben!$B$12)</f>
        <v/>
      </c>
      <c r="I13" s="24">
        <f>G13-H13</f>
        <v/>
      </c>
      <c r="J13" s="24">
        <f>I13*Eingaben!$B$13</f>
        <v/>
      </c>
      <c r="K13" s="24">
        <f>I13*Eingaben!$B$15</f>
        <v/>
      </c>
      <c r="L13" s="24">
        <f>I13*Eingaben!$B$16</f>
        <v/>
      </c>
      <c r="M13" s="24">
        <f>I13-J13-K13-L13</f>
        <v/>
      </c>
      <c r="N13" s="24">
        <f>E13*(Eingaben!$B$24+Eingaben!$B$26+IF(C13="AI",Eingaben!$B$25,0))</f>
        <v/>
      </c>
      <c r="O13" s="24">
        <f>M13-N13</f>
        <v/>
      </c>
    </row>
    <row r="14">
      <c r="A14" s="23">
        <f>Szenarien!$A$7</f>
        <v/>
      </c>
      <c r="B14" s="23" t="inlineStr">
        <is>
          <t>Apple</t>
        </is>
      </c>
      <c r="C14" s="23" t="inlineStr">
        <is>
          <t>Plus</t>
        </is>
      </c>
      <c r="D14" s="23" t="inlineStr">
        <is>
          <t>Jahr</t>
        </is>
      </c>
      <c r="E14" s="26">
        <f>Szenarien!$E$7</f>
        <v/>
      </c>
      <c r="F14" s="24">
        <f>Eingaben!$C$6</f>
        <v/>
      </c>
      <c r="G14" s="24">
        <f>IF(D14="Jahr",E14*F14/12,E14*F14)</f>
        <v/>
      </c>
      <c r="H14" s="24">
        <f>G14*Eingaben!$B$12/(1+Eingaben!$B$12)</f>
        <v/>
      </c>
      <c r="I14" s="24">
        <f>G14-H14</f>
        <v/>
      </c>
      <c r="J14" s="24">
        <f>I14*Eingaben!$B$13</f>
        <v/>
      </c>
      <c r="K14" s="24">
        <f>I14*Eingaben!$B$15</f>
        <v/>
      </c>
      <c r="L14" s="24">
        <f>I14*Eingaben!$B$16</f>
        <v/>
      </c>
      <c r="M14" s="24">
        <f>I14-J14-K14-L14</f>
        <v/>
      </c>
      <c r="N14" s="24">
        <f>E14*(Eingaben!$B$24+Eingaben!$B$26+IF(C14="AI",Eingaben!$B$25,0))</f>
        <v/>
      </c>
      <c r="O14" s="24">
        <f>M14-N14</f>
        <v/>
      </c>
    </row>
    <row r="15">
      <c r="A15" s="23">
        <f>Szenarien!$A$7</f>
        <v/>
      </c>
      <c r="B15" s="23" t="inlineStr">
        <is>
          <t>Apple</t>
        </is>
      </c>
      <c r="C15" s="23" t="inlineStr">
        <is>
          <t>AI</t>
        </is>
      </c>
      <c r="D15" s="23" t="inlineStr">
        <is>
          <t>Monat</t>
        </is>
      </c>
      <c r="E15" s="26">
        <f>Szenarien!$F$7</f>
        <v/>
      </c>
      <c r="F15" s="24">
        <f>Eingaben!$B$7</f>
        <v/>
      </c>
      <c r="G15" s="24">
        <f>IF(D15="Jahr",E15*F15/12,E15*F15)</f>
        <v/>
      </c>
      <c r="H15" s="24">
        <f>G15*Eingaben!$B$12/(1+Eingaben!$B$12)</f>
        <v/>
      </c>
      <c r="I15" s="24">
        <f>G15-H15</f>
        <v/>
      </c>
      <c r="J15" s="24">
        <f>I15*Eingaben!$B$13</f>
        <v/>
      </c>
      <c r="K15" s="24">
        <f>I15*Eingaben!$B$15</f>
        <v/>
      </c>
      <c r="L15" s="24">
        <f>I15*Eingaben!$B$16</f>
        <v/>
      </c>
      <c r="M15" s="24">
        <f>I15-J15-K15-L15</f>
        <v/>
      </c>
      <c r="N15" s="24">
        <f>E15*(Eingaben!$B$24+Eingaben!$B$26+IF(C15="AI",Eingaben!$B$25,0))</f>
        <v/>
      </c>
      <c r="O15" s="24">
        <f>M15-N15</f>
        <v/>
      </c>
    </row>
    <row r="16">
      <c r="A16" s="23">
        <f>Szenarien!$A$7</f>
        <v/>
      </c>
      <c r="B16" s="23" t="inlineStr">
        <is>
          <t>Apple</t>
        </is>
      </c>
      <c r="C16" s="23" t="inlineStr">
        <is>
          <t>AI</t>
        </is>
      </c>
      <c r="D16" s="23" t="inlineStr">
        <is>
          <t>Jahr</t>
        </is>
      </c>
      <c r="E16" s="26">
        <f>Szenarien!$G$7</f>
        <v/>
      </c>
      <c r="F16" s="24">
        <f>Eingaben!$C$7</f>
        <v/>
      </c>
      <c r="G16" s="24">
        <f>IF(D16="Jahr",E16*F16/12,E16*F16)</f>
        <v/>
      </c>
      <c r="H16" s="24">
        <f>G16*Eingaben!$B$12/(1+Eingaben!$B$12)</f>
        <v/>
      </c>
      <c r="I16" s="24">
        <f>G16-H16</f>
        <v/>
      </c>
      <c r="J16" s="24">
        <f>I16*Eingaben!$B$13</f>
        <v/>
      </c>
      <c r="K16" s="24">
        <f>I16*Eingaben!$B$15</f>
        <v/>
      </c>
      <c r="L16" s="24">
        <f>I16*Eingaben!$B$16</f>
        <v/>
      </c>
      <c r="M16" s="24">
        <f>I16-J16-K16-L16</f>
        <v/>
      </c>
      <c r="N16" s="24">
        <f>E16*(Eingaben!$B$24+Eingaben!$B$26+IF(C16="AI",Eingaben!$B$25,0))</f>
        <v/>
      </c>
      <c r="O16" s="24">
        <f>M16-N16</f>
        <v/>
      </c>
    </row>
    <row r="17">
      <c r="A17" s="23">
        <f>Szenarien!$A$7</f>
        <v/>
      </c>
      <c r="B17" s="23" t="inlineStr">
        <is>
          <t>Google</t>
        </is>
      </c>
      <c r="C17" s="23" t="inlineStr">
        <is>
          <t>Plus</t>
        </is>
      </c>
      <c r="D17" s="23" t="inlineStr">
        <is>
          <t>Monat</t>
        </is>
      </c>
      <c r="E17" s="26">
        <f>Szenarien!$H$7</f>
        <v/>
      </c>
      <c r="F17" s="24">
        <f>Eingaben!$B$6</f>
        <v/>
      </c>
      <c r="G17" s="24">
        <f>IF(D17="Jahr",E17*F17/12,E17*F17)</f>
        <v/>
      </c>
      <c r="H17" s="24">
        <f>G17*Eingaben!$B$12/(1+Eingaben!$B$12)</f>
        <v/>
      </c>
      <c r="I17" s="24">
        <f>G17-H17</f>
        <v/>
      </c>
      <c r="J17" s="24">
        <f>I17*Eingaben!$B$14</f>
        <v/>
      </c>
      <c r="K17" s="24">
        <f>I17*Eingaben!$B$15</f>
        <v/>
      </c>
      <c r="L17" s="24">
        <f>I17*Eingaben!$B$16</f>
        <v/>
      </c>
      <c r="M17" s="24">
        <f>I17-J17-K17-L17</f>
        <v/>
      </c>
      <c r="N17" s="24">
        <f>E17*(Eingaben!$B$24+Eingaben!$B$26+IF(C17="AI",Eingaben!$B$25,0))</f>
        <v/>
      </c>
      <c r="O17" s="24">
        <f>M17-N17</f>
        <v/>
      </c>
    </row>
    <row r="18">
      <c r="A18" s="23">
        <f>Szenarien!$A$7</f>
        <v/>
      </c>
      <c r="B18" s="23" t="inlineStr">
        <is>
          <t>Google</t>
        </is>
      </c>
      <c r="C18" s="23" t="inlineStr">
        <is>
          <t>Plus</t>
        </is>
      </c>
      <c r="D18" s="23" t="inlineStr">
        <is>
          <t>Jahr</t>
        </is>
      </c>
      <c r="E18" s="26">
        <f>Szenarien!$I$7</f>
        <v/>
      </c>
      <c r="F18" s="24">
        <f>Eingaben!$C$6</f>
        <v/>
      </c>
      <c r="G18" s="24">
        <f>IF(D18="Jahr",E18*F18/12,E18*F18)</f>
        <v/>
      </c>
      <c r="H18" s="24">
        <f>G18*Eingaben!$B$12/(1+Eingaben!$B$12)</f>
        <v/>
      </c>
      <c r="I18" s="24">
        <f>G18-H18</f>
        <v/>
      </c>
      <c r="J18" s="24">
        <f>I18*Eingaben!$B$14</f>
        <v/>
      </c>
      <c r="K18" s="24">
        <f>I18*Eingaben!$B$15</f>
        <v/>
      </c>
      <c r="L18" s="24">
        <f>I18*Eingaben!$B$16</f>
        <v/>
      </c>
      <c r="M18" s="24">
        <f>I18-J18-K18-L18</f>
        <v/>
      </c>
      <c r="N18" s="24">
        <f>E18*(Eingaben!$B$24+Eingaben!$B$26+IF(C18="AI",Eingaben!$B$25,0))</f>
        <v/>
      </c>
      <c r="O18" s="24">
        <f>M18-N18</f>
        <v/>
      </c>
    </row>
    <row r="19">
      <c r="A19" s="23">
        <f>Szenarien!$A$7</f>
        <v/>
      </c>
      <c r="B19" s="23" t="inlineStr">
        <is>
          <t>Google</t>
        </is>
      </c>
      <c r="C19" s="23" t="inlineStr">
        <is>
          <t>AI</t>
        </is>
      </c>
      <c r="D19" s="23" t="inlineStr">
        <is>
          <t>Monat</t>
        </is>
      </c>
      <c r="E19" s="26">
        <f>Szenarien!$J$7</f>
        <v/>
      </c>
      <c r="F19" s="24">
        <f>Eingaben!$B$7</f>
        <v/>
      </c>
      <c r="G19" s="24">
        <f>IF(D19="Jahr",E19*F19/12,E19*F19)</f>
        <v/>
      </c>
      <c r="H19" s="24">
        <f>G19*Eingaben!$B$12/(1+Eingaben!$B$12)</f>
        <v/>
      </c>
      <c r="I19" s="24">
        <f>G19-H19</f>
        <v/>
      </c>
      <c r="J19" s="24">
        <f>I19*Eingaben!$B$14</f>
        <v/>
      </c>
      <c r="K19" s="24">
        <f>I19*Eingaben!$B$15</f>
        <v/>
      </c>
      <c r="L19" s="24">
        <f>I19*Eingaben!$B$16</f>
        <v/>
      </c>
      <c r="M19" s="24">
        <f>I19-J19-K19-L19</f>
        <v/>
      </c>
      <c r="N19" s="24">
        <f>E19*(Eingaben!$B$24+Eingaben!$B$26+IF(C19="AI",Eingaben!$B$25,0))</f>
        <v/>
      </c>
      <c r="O19" s="24">
        <f>M19-N19</f>
        <v/>
      </c>
    </row>
    <row r="20">
      <c r="A20" s="23">
        <f>Szenarien!$A$7</f>
        <v/>
      </c>
      <c r="B20" s="23" t="inlineStr">
        <is>
          <t>Google</t>
        </is>
      </c>
      <c r="C20" s="23" t="inlineStr">
        <is>
          <t>AI</t>
        </is>
      </c>
      <c r="D20" s="23" t="inlineStr">
        <is>
          <t>Jahr</t>
        </is>
      </c>
      <c r="E20" s="26">
        <f>Szenarien!$K$7</f>
        <v/>
      </c>
      <c r="F20" s="24">
        <f>Eingaben!$C$7</f>
        <v/>
      </c>
      <c r="G20" s="24">
        <f>IF(D20="Jahr",E20*F20/12,E20*F20)</f>
        <v/>
      </c>
      <c r="H20" s="24">
        <f>G20*Eingaben!$B$12/(1+Eingaben!$B$12)</f>
        <v/>
      </c>
      <c r="I20" s="24">
        <f>G20-H20</f>
        <v/>
      </c>
      <c r="J20" s="24">
        <f>I20*Eingaben!$B$14</f>
        <v/>
      </c>
      <c r="K20" s="24">
        <f>I20*Eingaben!$B$15</f>
        <v/>
      </c>
      <c r="L20" s="24">
        <f>I20*Eingaben!$B$16</f>
        <v/>
      </c>
      <c r="M20" s="24">
        <f>I20-J20-K20-L20</f>
        <v/>
      </c>
      <c r="N20" s="24">
        <f>E20*(Eingaben!$B$24+Eingaben!$B$26+IF(C20="AI",Eingaben!$B$25,0))</f>
        <v/>
      </c>
      <c r="O20" s="24">
        <f>M20-N20</f>
        <v/>
      </c>
    </row>
    <row r="21">
      <c r="A21" s="23">
        <f>Szenarien!$A$8</f>
        <v/>
      </c>
      <c r="B21" s="23" t="inlineStr">
        <is>
          <t>Apple</t>
        </is>
      </c>
      <c r="C21" s="23" t="inlineStr">
        <is>
          <t>Plus</t>
        </is>
      </c>
      <c r="D21" s="23" t="inlineStr">
        <is>
          <t>Monat</t>
        </is>
      </c>
      <c r="E21" s="26">
        <f>Szenarien!$D$8</f>
        <v/>
      </c>
      <c r="F21" s="24">
        <f>Eingaben!$B$6</f>
        <v/>
      </c>
      <c r="G21" s="24">
        <f>IF(D21="Jahr",E21*F21/12,E21*F21)</f>
        <v/>
      </c>
      <c r="H21" s="24">
        <f>G21*Eingaben!$B$12/(1+Eingaben!$B$12)</f>
        <v/>
      </c>
      <c r="I21" s="24">
        <f>G21-H21</f>
        <v/>
      </c>
      <c r="J21" s="24">
        <f>I21*Eingaben!$B$13</f>
        <v/>
      </c>
      <c r="K21" s="24">
        <f>I21*Eingaben!$B$15</f>
        <v/>
      </c>
      <c r="L21" s="24">
        <f>I21*Eingaben!$B$16</f>
        <v/>
      </c>
      <c r="M21" s="24">
        <f>I21-J21-K21-L21</f>
        <v/>
      </c>
      <c r="N21" s="24">
        <f>E21*(Eingaben!$B$24+Eingaben!$B$26+IF(C21="AI",Eingaben!$B$25,0))</f>
        <v/>
      </c>
      <c r="O21" s="24">
        <f>M21-N21</f>
        <v/>
      </c>
    </row>
    <row r="22">
      <c r="A22" s="23">
        <f>Szenarien!$A$8</f>
        <v/>
      </c>
      <c r="B22" s="23" t="inlineStr">
        <is>
          <t>Apple</t>
        </is>
      </c>
      <c r="C22" s="23" t="inlineStr">
        <is>
          <t>Plus</t>
        </is>
      </c>
      <c r="D22" s="23" t="inlineStr">
        <is>
          <t>Jahr</t>
        </is>
      </c>
      <c r="E22" s="26">
        <f>Szenarien!$E$8</f>
        <v/>
      </c>
      <c r="F22" s="24">
        <f>Eingaben!$C$6</f>
        <v/>
      </c>
      <c r="G22" s="24">
        <f>IF(D22="Jahr",E22*F22/12,E22*F22)</f>
        <v/>
      </c>
      <c r="H22" s="24">
        <f>G22*Eingaben!$B$12/(1+Eingaben!$B$12)</f>
        <v/>
      </c>
      <c r="I22" s="24">
        <f>G22-H22</f>
        <v/>
      </c>
      <c r="J22" s="24">
        <f>I22*Eingaben!$B$13</f>
        <v/>
      </c>
      <c r="K22" s="24">
        <f>I22*Eingaben!$B$15</f>
        <v/>
      </c>
      <c r="L22" s="24">
        <f>I22*Eingaben!$B$16</f>
        <v/>
      </c>
      <c r="M22" s="24">
        <f>I22-J22-K22-L22</f>
        <v/>
      </c>
      <c r="N22" s="24">
        <f>E22*(Eingaben!$B$24+Eingaben!$B$26+IF(C22="AI",Eingaben!$B$25,0))</f>
        <v/>
      </c>
      <c r="O22" s="24">
        <f>M22-N22</f>
        <v/>
      </c>
    </row>
    <row r="23">
      <c r="A23" s="23">
        <f>Szenarien!$A$8</f>
        <v/>
      </c>
      <c r="B23" s="23" t="inlineStr">
        <is>
          <t>Apple</t>
        </is>
      </c>
      <c r="C23" s="23" t="inlineStr">
        <is>
          <t>AI</t>
        </is>
      </c>
      <c r="D23" s="23" t="inlineStr">
        <is>
          <t>Monat</t>
        </is>
      </c>
      <c r="E23" s="26">
        <f>Szenarien!$F$8</f>
        <v/>
      </c>
      <c r="F23" s="24">
        <f>Eingaben!$B$7</f>
        <v/>
      </c>
      <c r="G23" s="24">
        <f>IF(D23="Jahr",E23*F23/12,E23*F23)</f>
        <v/>
      </c>
      <c r="H23" s="24">
        <f>G23*Eingaben!$B$12/(1+Eingaben!$B$12)</f>
        <v/>
      </c>
      <c r="I23" s="24">
        <f>G23-H23</f>
        <v/>
      </c>
      <c r="J23" s="24">
        <f>I23*Eingaben!$B$13</f>
        <v/>
      </c>
      <c r="K23" s="24">
        <f>I23*Eingaben!$B$15</f>
        <v/>
      </c>
      <c r="L23" s="24">
        <f>I23*Eingaben!$B$16</f>
        <v/>
      </c>
      <c r="M23" s="24">
        <f>I23-J23-K23-L23</f>
        <v/>
      </c>
      <c r="N23" s="24">
        <f>E23*(Eingaben!$B$24+Eingaben!$B$26+IF(C23="AI",Eingaben!$B$25,0))</f>
        <v/>
      </c>
      <c r="O23" s="24">
        <f>M23-N23</f>
        <v/>
      </c>
    </row>
    <row r="24">
      <c r="A24" s="23">
        <f>Szenarien!$A$8</f>
        <v/>
      </c>
      <c r="B24" s="23" t="inlineStr">
        <is>
          <t>Apple</t>
        </is>
      </c>
      <c r="C24" s="23" t="inlineStr">
        <is>
          <t>AI</t>
        </is>
      </c>
      <c r="D24" s="23" t="inlineStr">
        <is>
          <t>Jahr</t>
        </is>
      </c>
      <c r="E24" s="26">
        <f>Szenarien!$G$8</f>
        <v/>
      </c>
      <c r="F24" s="24">
        <f>Eingaben!$C$7</f>
        <v/>
      </c>
      <c r="G24" s="24">
        <f>IF(D24="Jahr",E24*F24/12,E24*F24)</f>
        <v/>
      </c>
      <c r="H24" s="24">
        <f>G24*Eingaben!$B$12/(1+Eingaben!$B$12)</f>
        <v/>
      </c>
      <c r="I24" s="24">
        <f>G24-H24</f>
        <v/>
      </c>
      <c r="J24" s="24">
        <f>I24*Eingaben!$B$13</f>
        <v/>
      </c>
      <c r="K24" s="24">
        <f>I24*Eingaben!$B$15</f>
        <v/>
      </c>
      <c r="L24" s="24">
        <f>I24*Eingaben!$B$16</f>
        <v/>
      </c>
      <c r="M24" s="24">
        <f>I24-J24-K24-L24</f>
        <v/>
      </c>
      <c r="N24" s="24">
        <f>E24*(Eingaben!$B$24+Eingaben!$B$26+IF(C24="AI",Eingaben!$B$25,0))</f>
        <v/>
      </c>
      <c r="O24" s="24">
        <f>M24-N24</f>
        <v/>
      </c>
    </row>
    <row r="25">
      <c r="A25" s="23">
        <f>Szenarien!$A$8</f>
        <v/>
      </c>
      <c r="B25" s="23" t="inlineStr">
        <is>
          <t>Google</t>
        </is>
      </c>
      <c r="C25" s="23" t="inlineStr">
        <is>
          <t>Plus</t>
        </is>
      </c>
      <c r="D25" s="23" t="inlineStr">
        <is>
          <t>Monat</t>
        </is>
      </c>
      <c r="E25" s="26">
        <f>Szenarien!$H$8</f>
        <v/>
      </c>
      <c r="F25" s="24">
        <f>Eingaben!$B$6</f>
        <v/>
      </c>
      <c r="G25" s="24">
        <f>IF(D25="Jahr",E25*F25/12,E25*F25)</f>
        <v/>
      </c>
      <c r="H25" s="24">
        <f>G25*Eingaben!$B$12/(1+Eingaben!$B$12)</f>
        <v/>
      </c>
      <c r="I25" s="24">
        <f>G25-H25</f>
        <v/>
      </c>
      <c r="J25" s="24">
        <f>I25*Eingaben!$B$14</f>
        <v/>
      </c>
      <c r="K25" s="24">
        <f>I25*Eingaben!$B$15</f>
        <v/>
      </c>
      <c r="L25" s="24">
        <f>I25*Eingaben!$B$16</f>
        <v/>
      </c>
      <c r="M25" s="24">
        <f>I25-J25-K25-L25</f>
        <v/>
      </c>
      <c r="N25" s="24">
        <f>E25*(Eingaben!$B$24+Eingaben!$B$26+IF(C25="AI",Eingaben!$B$25,0))</f>
        <v/>
      </c>
      <c r="O25" s="24">
        <f>M25-N25</f>
        <v/>
      </c>
    </row>
    <row r="26">
      <c r="A26" s="23">
        <f>Szenarien!$A$8</f>
        <v/>
      </c>
      <c r="B26" s="23" t="inlineStr">
        <is>
          <t>Google</t>
        </is>
      </c>
      <c r="C26" s="23" t="inlineStr">
        <is>
          <t>Plus</t>
        </is>
      </c>
      <c r="D26" s="23" t="inlineStr">
        <is>
          <t>Jahr</t>
        </is>
      </c>
      <c r="E26" s="26">
        <f>Szenarien!$I$8</f>
        <v/>
      </c>
      <c r="F26" s="24">
        <f>Eingaben!$C$6</f>
        <v/>
      </c>
      <c r="G26" s="24">
        <f>IF(D26="Jahr",E26*F26/12,E26*F26)</f>
        <v/>
      </c>
      <c r="H26" s="24">
        <f>G26*Eingaben!$B$12/(1+Eingaben!$B$12)</f>
        <v/>
      </c>
      <c r="I26" s="24">
        <f>G26-H26</f>
        <v/>
      </c>
      <c r="J26" s="24">
        <f>I26*Eingaben!$B$14</f>
        <v/>
      </c>
      <c r="K26" s="24">
        <f>I26*Eingaben!$B$15</f>
        <v/>
      </c>
      <c r="L26" s="24">
        <f>I26*Eingaben!$B$16</f>
        <v/>
      </c>
      <c r="M26" s="24">
        <f>I26-J26-K26-L26</f>
        <v/>
      </c>
      <c r="N26" s="24">
        <f>E26*(Eingaben!$B$24+Eingaben!$B$26+IF(C26="AI",Eingaben!$B$25,0))</f>
        <v/>
      </c>
      <c r="O26" s="24">
        <f>M26-N26</f>
        <v/>
      </c>
    </row>
    <row r="27">
      <c r="A27" s="23">
        <f>Szenarien!$A$8</f>
        <v/>
      </c>
      <c r="B27" s="23" t="inlineStr">
        <is>
          <t>Google</t>
        </is>
      </c>
      <c r="C27" s="23" t="inlineStr">
        <is>
          <t>AI</t>
        </is>
      </c>
      <c r="D27" s="23" t="inlineStr">
        <is>
          <t>Monat</t>
        </is>
      </c>
      <c r="E27" s="26">
        <f>Szenarien!$J$8</f>
        <v/>
      </c>
      <c r="F27" s="24">
        <f>Eingaben!$B$7</f>
        <v/>
      </c>
      <c r="G27" s="24">
        <f>IF(D27="Jahr",E27*F27/12,E27*F27)</f>
        <v/>
      </c>
      <c r="H27" s="24">
        <f>G27*Eingaben!$B$12/(1+Eingaben!$B$12)</f>
        <v/>
      </c>
      <c r="I27" s="24">
        <f>G27-H27</f>
        <v/>
      </c>
      <c r="J27" s="24">
        <f>I27*Eingaben!$B$14</f>
        <v/>
      </c>
      <c r="K27" s="24">
        <f>I27*Eingaben!$B$15</f>
        <v/>
      </c>
      <c r="L27" s="24">
        <f>I27*Eingaben!$B$16</f>
        <v/>
      </c>
      <c r="M27" s="24">
        <f>I27-J27-K27-L27</f>
        <v/>
      </c>
      <c r="N27" s="24">
        <f>E27*(Eingaben!$B$24+Eingaben!$B$26+IF(C27="AI",Eingaben!$B$25,0))</f>
        <v/>
      </c>
      <c r="O27" s="24">
        <f>M27-N27</f>
        <v/>
      </c>
    </row>
    <row r="28">
      <c r="A28" s="23">
        <f>Szenarien!$A$8</f>
        <v/>
      </c>
      <c r="B28" s="23" t="inlineStr">
        <is>
          <t>Google</t>
        </is>
      </c>
      <c r="C28" s="23" t="inlineStr">
        <is>
          <t>AI</t>
        </is>
      </c>
      <c r="D28" s="23" t="inlineStr">
        <is>
          <t>Jahr</t>
        </is>
      </c>
      <c r="E28" s="26">
        <f>Szenarien!$K$8</f>
        <v/>
      </c>
      <c r="F28" s="24">
        <f>Eingaben!$C$7</f>
        <v/>
      </c>
      <c r="G28" s="24">
        <f>IF(D28="Jahr",E28*F28/12,E28*F28)</f>
        <v/>
      </c>
      <c r="H28" s="24">
        <f>G28*Eingaben!$B$12/(1+Eingaben!$B$12)</f>
        <v/>
      </c>
      <c r="I28" s="24">
        <f>G28-H28</f>
        <v/>
      </c>
      <c r="J28" s="24">
        <f>I28*Eingaben!$B$14</f>
        <v/>
      </c>
      <c r="K28" s="24">
        <f>I28*Eingaben!$B$15</f>
        <v/>
      </c>
      <c r="L28" s="24">
        <f>I28*Eingaben!$B$16</f>
        <v/>
      </c>
      <c r="M28" s="24">
        <f>I28-J28-K28-L28</f>
        <v/>
      </c>
      <c r="N28" s="24">
        <f>E28*(Eingaben!$B$24+Eingaben!$B$26+IF(C28="AI",Eingaben!$B$25,0))</f>
        <v/>
      </c>
      <c r="O28" s="24">
        <f>M28-N28</f>
        <v/>
      </c>
    </row>
  </sheetData>
  <autoFilter ref="A1:O28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78" customWidth="1" min="2" max="2"/>
    <col width="20" customWidth="1" min="3" max="3"/>
    <col width="20" customWidth="1" min="4" max="4"/>
  </cols>
  <sheetData>
    <row r="1">
      <c r="A1" s="1" t="inlineStr">
        <is>
          <t>Hinweise und Quellen</t>
        </is>
      </c>
    </row>
    <row r="2"/>
    <row r="3">
      <c r="A3" s="5" t="inlineStr">
        <is>
          <t>Lesart des Modells</t>
        </is>
      </c>
    </row>
    <row r="4">
      <c r="A4" s="27" t="inlineStr">
        <is>
          <t>1. Free hat kein RevenueCat-Entitlement. Free-Werbeumsatz wird separat gerechnet.</t>
        </is>
      </c>
    </row>
    <row r="5">
      <c r="A5" s="27" t="inlineStr">
        <is>
          <t>2. Abo-Preise sind Bruttopreise. Das Modell zieht VAT zuerst ab und berechnet Store-Gebühren auf dem Netto-Aboerlös.</t>
        </is>
      </c>
    </row>
    <row r="6">
      <c r="A6" s="27" t="inlineStr">
        <is>
          <t>3. Jahresabos werden für die Wirtschaftlichkeit als Preis / 12 dargestellt. Tatsächlicher Cashflow entsteht bei Abschluss oder Verlängerung.</t>
        </is>
      </c>
    </row>
    <row r="7">
      <c r="A7" s="27" t="inlineStr">
        <is>
          <t>4. Fixkosten werden im Dashboard proportional auf Apple und Google verteilt, basierend auf Free-Nutzern plus zahlenden Haushalten.</t>
        </is>
      </c>
    </row>
    <row r="8">
      <c r="A8" s="27" t="inlineStr">
        <is>
          <t>5. Der echte Gewinn ist ein Modellwert: Nettoauszahlung aus Abos + Netto-Werbung - variable Infra - Fixkosten.</t>
        </is>
      </c>
    </row>
    <row r="9">
      <c r="A9" s="27" t="inlineStr">
        <is>
          <t>6. Für eine echte Store-Abrechnung müssen VAT, Store-Programm, Erstattungen, lokale Preisstaffeln und RevenueCat-Vertrag geprüft werden.</t>
        </is>
      </c>
    </row>
    <row r="10"/>
    <row r="11"/>
    <row r="12">
      <c r="A12" s="5" t="inlineStr">
        <is>
          <t>Offizielle Gebührenreferenzen</t>
        </is>
      </c>
    </row>
    <row r="13">
      <c r="A13" s="28" t="inlineStr">
        <is>
          <t>Apple Small Business Program</t>
        </is>
      </c>
      <c r="B13" s="29" t="inlineStr">
        <is>
          <t>https://developer.apple.com/app-store/small-business-program/</t>
        </is>
      </c>
    </row>
    <row r="14">
      <c r="A14" s="28" t="inlineStr">
        <is>
          <t>Apple Developer fees and qualifying subscriptions</t>
        </is>
      </c>
      <c r="B14" s="29" t="inlineStr">
        <is>
          <t>https://developer.apple.com/programs/whats-included/</t>
        </is>
      </c>
    </row>
    <row r="15">
      <c r="A15" s="28" t="inlineStr">
        <is>
          <t>Google Play service fees</t>
        </is>
      </c>
      <c r="B15" s="29" t="inlineStr">
        <is>
          <t>https://support.google.com/googleplay/android-developer/answer/112622</t>
        </is>
      </c>
    </row>
  </sheetData>
  <autoFilter ref="A1:D15"/>
  <mergeCells count="9">
    <mergeCell ref="A1:D1"/>
    <mergeCell ref="A5:D5"/>
    <mergeCell ref="A9:D9"/>
    <mergeCell ref="A8:D8"/>
    <mergeCell ref="A6:D6"/>
    <mergeCell ref="A12:D12"/>
    <mergeCell ref="A4:D4"/>
    <mergeCell ref="A3:D3"/>
    <mergeCell ref="A7:D7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2026-08-31T02:46:20Z</dcterms:created>
  <dcterms:modified xmlns:dcterms="http://purl.org/dc/terms/" xmlns:xsi="http://www.w3.org/2001/XMLSchema-instance" xsi:type="dcterms:W3CDTF">2026-08-31T02:46:20Z</dcterms:modified>
</cp:coreProperties>
</file>