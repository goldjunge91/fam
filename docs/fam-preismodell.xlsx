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gaben" sheetId="1" state="visible" r:id="rId1"/>
    <sheet xmlns:r="http://schemas.openxmlformats.org/officeDocument/2006/relationships" name="Auswertung" sheetId="2" state="visible" r:id="rId2"/>
    <sheet xmlns:r="http://schemas.openxmlformats.org/officeDocument/2006/relationships" name="Hinweise" sheetId="3" state="visible" r:id="rId3"/>
  </sheets>
  <definedNames>
    <definedName name="_xlnm._FilterDatabase" localSheetId="0" hidden="1">'Eingaben'!$A$1:$D$41</definedName>
    <definedName name="_xlnm._FilterDatabase" localSheetId="1" hidden="1">'Auswertung'!$A$1:$N$20</definedName>
    <definedName name="_xlnm._FilterDatabase" localSheetId="2" hidden="1">'Hinweise'!$A$1:$D$15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€ 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4B354D"/>
      <sz val="18"/>
    </font>
    <font>
      <i val="1"/>
      <color rgb="006B6468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FFF9F2"/>
      </patternFill>
    </fill>
    <fill>
      <patternFill patternType="solid">
        <fgColor rgb="00705573"/>
      </patternFill>
    </fill>
    <fill>
      <patternFill patternType="solid">
        <fgColor rgb="004B354D"/>
      </patternFill>
    </fill>
    <fill>
      <patternFill patternType="solid">
        <fgColor rgb="00FFF2CC"/>
      </patternFill>
    </fill>
    <fill>
      <patternFill patternType="solid">
        <fgColor rgb="00E7F3E8"/>
      </patternFill>
    </fill>
  </fills>
  <borders count="2">
    <border>
      <left/>
      <right/>
      <top/>
      <bottom/>
      <diagonal/>
    </border>
    <border>
      <bottom style="thin">
        <color rgb="00D8CDD3"/>
      </bottom>
    </border>
  </borders>
  <cellStyleXfs count="2">
    <xf numFmtId="0" fontId="0" fillId="0" borderId="0"/>
    <xf numFmtId="0" fontId="5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3" fillId="4" borderId="0" applyAlignment="1" pivotButton="0" quotePrefix="0" xfId="0">
      <alignment wrapText="1"/>
    </xf>
    <xf numFmtId="0" fontId="0" fillId="2" borderId="1" pivotButton="0" quotePrefix="0" xfId="0"/>
    <xf numFmtId="164" fontId="0" fillId="5" borderId="1" pivotButton="0" quotePrefix="0" xfId="0"/>
    <xf numFmtId="165" fontId="0" fillId="5" borderId="1" pivotButton="0" quotePrefix="0" xfId="0"/>
    <xf numFmtId="3" fontId="0" fillId="5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vertical="top" wrapText="1"/>
    </xf>
    <xf numFmtId="3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0" fontId="0" fillId="3" borderId="0" pivotButton="0" quotePrefix="0" xfId="0"/>
    <xf numFmtId="3" fontId="3" fillId="3" borderId="0" pivotButton="0" quotePrefix="0" xfId="0"/>
    <xf numFmtId="164" fontId="3" fillId="3" borderId="0" pivotButton="0" quotePrefix="0" xfId="0"/>
    <xf numFmtId="0" fontId="4" fillId="2" borderId="1" pivotButton="0" quotePrefix="0" xfId="0"/>
    <xf numFmtId="164" fontId="0" fillId="2" borderId="1" pivotButton="0" quotePrefix="0" xfId="0"/>
    <xf numFmtId="164" fontId="0" fillId="6" borderId="1" pivotButton="0" quotePrefix="0" xfId="0"/>
    <xf numFmtId="165" fontId="0" fillId="6" borderId="1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  <xf numFmtId="0" fontId="5" fillId="2" borderId="0" pivotButton="0" quotePrefix="0" xfId="1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BE5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eveloper.apple.com/app-store/small-business-program/" TargetMode="External" Id="rId1"/><Relationship Type="http://schemas.openxmlformats.org/officeDocument/2006/relationships/hyperlink" Target="https://developer.apple.com/programs/whats-included/" TargetMode="External" Id="rId2"/><Relationship Type="http://schemas.openxmlformats.org/officeDocument/2006/relationships/hyperlink" Target="https://support.google.com/googleplay/android-developer/answer/1126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  <col width="42" customWidth="1" min="4" max="4"/>
  </cols>
  <sheetData>
    <row r="1">
      <c r="A1" s="1" t="inlineStr">
        <is>
          <t>fam Preis- und Umsatzmodell</t>
        </is>
      </c>
    </row>
    <row r="2">
      <c r="A2" s="2" t="inlineStr">
        <is>
          <t>Alle gelb markierten Werte sind Annahmen und können geändert werden.</t>
        </is>
      </c>
    </row>
    <row r="3"/>
    <row r="4">
      <c r="A4" s="3" t="inlineStr">
        <is>
          <t>Preise für kaufbare Abos</t>
        </is>
      </c>
    </row>
    <row r="5">
      <c r="A5" s="4" t="inlineStr">
        <is>
          <t>Stufe</t>
        </is>
      </c>
      <c r="B5" s="4" t="inlineStr">
        <is>
          <t>Periode</t>
        </is>
      </c>
      <c r="C5" s="4" t="inlineStr">
        <is>
          <t>Bruttopreis (€)</t>
        </is>
      </c>
      <c r="D5" s="4" t="inlineStr">
        <is>
          <t>Vorschlag / Notiz</t>
        </is>
      </c>
    </row>
    <row r="6">
      <c r="A6" s="5" t="inlineStr">
        <is>
          <t>Plus</t>
        </is>
      </c>
      <c r="B6" s="5" t="inlineStr">
        <is>
          <t>Monat</t>
        </is>
      </c>
      <c r="C6" s="6" t="n">
        <v>4.99</v>
      </c>
      <c r="D6" s="5" t="inlineStr">
        <is>
          <t>Werbefrei + Automationen</t>
        </is>
      </c>
    </row>
    <row r="7">
      <c r="A7" s="5" t="inlineStr">
        <is>
          <t>Plus</t>
        </is>
      </c>
      <c r="B7" s="5" t="inlineStr">
        <is>
          <t>Jahr</t>
        </is>
      </c>
      <c r="C7" s="6" t="n">
        <v>39.99</v>
      </c>
      <c r="D7" s="5" t="inlineStr">
        <is>
          <t>ca. 3,33 €/Monat</t>
        </is>
      </c>
    </row>
    <row r="8">
      <c r="A8" s="5" t="inlineStr">
        <is>
          <t>AI</t>
        </is>
      </c>
      <c r="B8" s="5" t="inlineStr">
        <is>
          <t>Monat</t>
        </is>
      </c>
      <c r="C8" s="6" t="n">
        <v>8.99</v>
      </c>
      <c r="D8" s="5" t="inlineStr">
        <is>
          <t>Plus inklusive + KI</t>
        </is>
      </c>
    </row>
    <row r="9">
      <c r="A9" s="5" t="inlineStr">
        <is>
          <t>AI</t>
        </is>
      </c>
      <c r="B9" s="5" t="inlineStr">
        <is>
          <t>Jahr</t>
        </is>
      </c>
      <c r="C9" s="6" t="n">
        <v>69.98999999999999</v>
      </c>
      <c r="D9" s="5" t="inlineStr">
        <is>
          <t>ca. 5,83 €/Monat</t>
        </is>
      </c>
    </row>
    <row r="10"/>
    <row r="11"/>
    <row r="12">
      <c r="A12" s="3" t="inlineStr">
        <is>
          <t>Steuern und Plattformgebühren</t>
        </is>
      </c>
    </row>
    <row r="13">
      <c r="A13" s="4" t="inlineStr">
        <is>
          <t>Annahme</t>
        </is>
      </c>
      <c r="B13" s="4" t="inlineStr">
        <is>
          <t>Wert</t>
        </is>
      </c>
      <c r="C13" s="4" t="inlineStr">
        <is>
          <t>Verwendung</t>
        </is>
      </c>
      <c r="D13" s="4" t="inlineStr">
        <is>
          <t>Hinweis</t>
        </is>
      </c>
    </row>
    <row r="14">
      <c r="A14" s="5" t="inlineStr">
        <is>
          <t>Umsatzsteuer / VAT</t>
        </is>
      </c>
      <c r="B14" s="7" t="n">
        <v>0.19</v>
      </c>
      <c r="C14" s="5" t="inlineStr">
        <is>
          <t>Preis enthält VAT</t>
        </is>
      </c>
      <c r="D14" s="5" t="inlineStr">
        <is>
          <t>Deutschland-Default; je Markt anpassen</t>
        </is>
      </c>
    </row>
    <row r="15">
      <c r="A15" s="5" t="inlineStr">
        <is>
          <t>Apple Store-Gebühr</t>
        </is>
      </c>
      <c r="B15" s="7" t="n">
        <v>0.15</v>
      </c>
      <c r="C15" s="5" t="inlineStr">
        <is>
          <t>Gebühr auf Nettoerlös vor Store-Gebühr</t>
        </is>
      </c>
      <c r="D15" s="5" t="inlineStr">
        <is>
          <t>Default für Small Business / qualifizierende Abos</t>
        </is>
      </c>
    </row>
    <row r="16">
      <c r="A16" s="5" t="inlineStr">
        <is>
          <t>Google Play-Gebühr</t>
        </is>
      </c>
      <c r="B16" s="7" t="n">
        <v>0.15</v>
      </c>
      <c r="C16" s="5" t="inlineStr">
        <is>
          <t>Gebühr auf Nettoerlös vor Store-Gebühr</t>
        </is>
      </c>
      <c r="D16" s="5" t="inlineStr">
        <is>
          <t>Default für automatisch verlängernde Abos</t>
        </is>
      </c>
    </row>
    <row r="17">
      <c r="A17" s="5" t="inlineStr">
        <is>
          <t>RevenueCat-Gebühr</t>
        </is>
      </c>
      <c r="B17" s="7" t="n">
        <v>0</v>
      </c>
      <c r="C17" s="5" t="inlineStr">
        <is>
          <t>Zusätzlicher Prozentsatz nach Store-Gebühr</t>
        </is>
      </c>
      <c r="D17" s="5" t="inlineStr">
        <is>
          <t>Falls euer Vertrag eine Gebühr vorsieht</t>
        </is>
      </c>
    </row>
    <row r="18">
      <c r="A18" s="5" t="inlineStr">
        <is>
          <t>Erstattungs-/Ausfallreserve</t>
        </is>
      </c>
      <c r="B18" s="7" t="n">
        <v>0.02</v>
      </c>
      <c r="C18" s="5" t="inlineStr">
        <is>
          <t>Reserve auf Nettoerlös vor Gebühren</t>
        </is>
      </c>
      <c r="D18" s="5" t="inlineStr">
        <is>
          <t>Optionaler Sicherheitsabschlag</t>
        </is>
      </c>
    </row>
    <row r="19"/>
    <row r="20"/>
    <row r="21">
      <c r="A21" s="3" t="inlineStr">
        <is>
          <t>Monatliche Infra- und Betriebskosten</t>
        </is>
      </c>
    </row>
    <row r="22">
      <c r="A22" s="4" t="inlineStr">
        <is>
          <t>Kostenart</t>
        </is>
      </c>
      <c r="B22" s="4" t="inlineStr">
        <is>
          <t>Wert (€)</t>
        </is>
      </c>
      <c r="C22" s="4" t="inlineStr">
        <is>
          <t>Berechnung</t>
        </is>
      </c>
      <c r="D22" s="4" t="inlineStr">
        <is>
          <t>Hinweis</t>
        </is>
      </c>
    </row>
    <row r="23">
      <c r="A23" s="5" t="inlineStr">
        <is>
          <t>Fixkosten pro Monat</t>
        </is>
      </c>
      <c r="B23" s="6" t="n">
        <v>0</v>
      </c>
      <c r="C23" s="5" t="inlineStr">
        <is>
          <t>Direkt vom Gesamt-Deckungsbeitrag abgezogen</t>
        </is>
      </c>
      <c r="D23" s="5" t="inlineStr">
        <is>
          <t>z. B. Supabase-Grundpreis, Monitoring, Domains</t>
        </is>
      </c>
    </row>
    <row r="24">
      <c r="A24" s="5" t="inlineStr">
        <is>
          <t>Backend/DB je zahlendem Haushalt</t>
        </is>
      </c>
      <c r="B24" s="6" t="n">
        <v>0</v>
      </c>
      <c r="C24" s="5" t="inlineStr">
        <is>
          <t>Je Plus- oder AI-Haushalt</t>
        </is>
      </c>
      <c r="D24" s="5" t="inlineStr">
        <is>
          <t>variable Datenbank-/Storage-Kosten</t>
        </is>
      </c>
    </row>
    <row r="25">
      <c r="A25" s="5" t="inlineStr">
        <is>
          <t>KI-Kosten je AI-Haushalt</t>
        </is>
      </c>
      <c r="B25" s="6" t="n">
        <v>0</v>
      </c>
      <c r="C25" s="5" t="inlineStr">
        <is>
          <t>Zusätzlich je AI-Haushalt</t>
        </is>
      </c>
      <c r="D25" s="5" t="inlineStr">
        <is>
          <t>Modellkosten, APIs, Sprachdienste</t>
        </is>
      </c>
    </row>
    <row r="26">
      <c r="A26" s="5" t="inlineStr">
        <is>
          <t>Support / sonstige Kosten je Haushalt</t>
        </is>
      </c>
      <c r="B26" s="6" t="n">
        <v>0</v>
      </c>
      <c r="C26" s="5" t="inlineStr">
        <is>
          <t>Je Plus- oder AI-Haushalt</t>
        </is>
      </c>
      <c r="D26" s="5" t="inlineStr">
        <is>
          <t>optional</t>
        </is>
      </c>
    </row>
    <row r="27"/>
    <row r="28"/>
    <row r="29">
      <c r="A29" s="3" t="inlineStr">
        <is>
          <t>Aktive zahlende Abos pro Monat</t>
        </is>
      </c>
    </row>
    <row r="30">
      <c r="A30" s="4" t="inlineStr">
        <is>
          <t>Store</t>
        </is>
      </c>
      <c r="B30" s="4" t="inlineStr">
        <is>
          <t>Stufe</t>
        </is>
      </c>
      <c r="C30" s="4" t="inlineStr">
        <is>
          <t>Periode</t>
        </is>
      </c>
      <c r="D30" s="4" t="inlineStr">
        <is>
          <t>Anzahl</t>
        </is>
      </c>
    </row>
    <row r="31">
      <c r="A31" s="5" t="inlineStr">
        <is>
          <t>Apple</t>
        </is>
      </c>
      <c r="B31" s="8" t="n">
        <v>0</v>
      </c>
      <c r="C31" s="5" t="inlineStr">
        <is>
          <t>Monat</t>
        </is>
      </c>
      <c r="D31" s="9" t="n"/>
    </row>
    <row r="32">
      <c r="A32" s="5" t="inlineStr">
        <is>
          <t>Apple</t>
        </is>
      </c>
      <c r="B32" s="8" t="n">
        <v>0</v>
      </c>
      <c r="C32" s="5" t="inlineStr">
        <is>
          <t>Jahr</t>
        </is>
      </c>
      <c r="D32" s="9" t="n"/>
    </row>
    <row r="33">
      <c r="A33" s="5" t="inlineStr">
        <is>
          <t>Apple</t>
        </is>
      </c>
      <c r="B33" s="8" t="n">
        <v>0</v>
      </c>
      <c r="C33" s="5" t="inlineStr">
        <is>
          <t>Monat</t>
        </is>
      </c>
      <c r="D33" s="9" t="n"/>
    </row>
    <row r="34">
      <c r="A34" s="5" t="inlineStr">
        <is>
          <t>Apple</t>
        </is>
      </c>
      <c r="B34" s="8" t="n">
        <v>0</v>
      </c>
      <c r="C34" s="5" t="inlineStr">
        <is>
          <t>Jahr</t>
        </is>
      </c>
      <c r="D34" s="9" t="n"/>
    </row>
    <row r="35">
      <c r="A35" s="5" t="inlineStr">
        <is>
          <t>Google</t>
        </is>
      </c>
      <c r="B35" s="8" t="n">
        <v>0</v>
      </c>
      <c r="C35" s="5" t="inlineStr">
        <is>
          <t>Monat</t>
        </is>
      </c>
      <c r="D35" s="9" t="n"/>
    </row>
    <row r="36">
      <c r="A36" s="5" t="inlineStr">
        <is>
          <t>Google</t>
        </is>
      </c>
      <c r="B36" s="8" t="n">
        <v>0</v>
      </c>
      <c r="C36" s="5" t="inlineStr">
        <is>
          <t>Jahr</t>
        </is>
      </c>
      <c r="D36" s="9" t="n"/>
    </row>
    <row r="37">
      <c r="A37" s="5" t="inlineStr">
        <is>
          <t>Google</t>
        </is>
      </c>
      <c r="B37" s="8" t="n">
        <v>0</v>
      </c>
      <c r="C37" s="5" t="inlineStr">
        <is>
          <t>Monat</t>
        </is>
      </c>
      <c r="D37" s="9" t="n"/>
    </row>
    <row r="38">
      <c r="A38" s="5" t="inlineStr">
        <is>
          <t>Google</t>
        </is>
      </c>
      <c r="B38" s="8" t="n">
        <v>0</v>
      </c>
      <c r="C38" s="5" t="inlineStr">
        <is>
          <t>Jahr</t>
        </is>
      </c>
      <c r="D38" s="9" t="n"/>
    </row>
    <row r="39"/>
    <row r="40"/>
    <row r="41">
      <c r="A41" s="2" t="inlineStr">
        <is>
          <t>Hinweis: Bei Jahresabos zeigt die Auswertung eine monatliche Run-Rate. Der tatsächliche Zahlungseingang erfolgt jährlich.</t>
        </is>
      </c>
    </row>
  </sheetData>
  <autoFilter ref="A1:D41"/>
  <mergeCells count="7">
    <mergeCell ref="A1:D1"/>
    <mergeCell ref="A12:D12"/>
    <mergeCell ref="A4:D4"/>
    <mergeCell ref="A21:D21"/>
    <mergeCell ref="A29:D29"/>
    <mergeCell ref="A41:D4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fam Auswertung: Store-Umsatz und Deckungsbeitrag</t>
        </is>
      </c>
    </row>
    <row r="2">
      <c r="A2" s="2" t="inlineStr">
        <is>
          <t>Alle gelb markierten Werte sind Annahmen und können geändert werden.</t>
        </is>
      </c>
    </row>
    <row r="3">
      <c r="A3" s="2" t="inlineStr">
        <is>
          <t>Die Rechnung zieht zunächst VAT ab, danach Store-/RevenueCat-Gebühren und anschließend die variablen Infra-Kosten.</t>
        </is>
      </c>
    </row>
    <row r="4"/>
    <row r="5" ht="42" customHeight="1">
      <c r="A5" s="4" t="inlineStr">
        <is>
          <t>Store</t>
        </is>
      </c>
      <c r="B5" s="4" t="inlineStr">
        <is>
          <t>Stufe</t>
        </is>
      </c>
      <c r="C5" s="4" t="inlineStr">
        <is>
          <t>Periode</t>
        </is>
      </c>
      <c r="D5" s="4" t="inlineStr">
        <is>
          <t>Abos</t>
        </is>
      </c>
      <c r="E5" s="4" t="inlineStr">
        <is>
          <t>Preis brutto / Periode</t>
        </is>
      </c>
      <c r="F5" s="4" t="inlineStr">
        <is>
          <t>Brutto Run-Rate / Monat</t>
        </is>
      </c>
      <c r="G5" s="4" t="inlineStr">
        <is>
          <t>VAT-Anteil</t>
        </is>
      </c>
      <c r="H5" s="4" t="inlineStr">
        <is>
          <t>Netto vor Gebühren</t>
        </is>
      </c>
      <c r="I5" s="4" t="inlineStr">
        <is>
          <t>Store-Gebühr</t>
        </is>
      </c>
      <c r="J5" s="4" t="inlineStr">
        <is>
          <t>RevenueCat-Gebühr</t>
        </is>
      </c>
      <c r="K5" s="4" t="inlineStr">
        <is>
          <t>Reserve</t>
        </is>
      </c>
      <c r="L5" s="4" t="inlineStr">
        <is>
          <t>Auszahlung nach Gebühren</t>
        </is>
      </c>
      <c r="M5" s="4" t="inlineStr">
        <is>
          <t>Variable Infra</t>
        </is>
      </c>
      <c r="N5" s="4" t="inlineStr">
        <is>
          <t>Deckungsbeitrag</t>
        </is>
      </c>
    </row>
    <row r="6">
      <c r="A6" s="10">
        <f>Eingaben!A31</f>
        <v/>
      </c>
      <c r="B6" s="10">
        <f>Eingaben!B31</f>
        <v/>
      </c>
      <c r="C6" s="10">
        <f>Eingaben!C31</f>
        <v/>
      </c>
      <c r="D6" s="11">
        <f>Eingaben!D31</f>
        <v/>
      </c>
      <c r="E6" s="12">
        <f>Eingaben!C6</f>
        <v/>
      </c>
      <c r="F6" s="12">
        <f>IF(C6="Jahr",D6*E6/12,D6*E6)</f>
        <v/>
      </c>
      <c r="G6" s="12">
        <f>F6*Eingaben!$B$14/(1+Eingaben!$B$14)</f>
        <v/>
      </c>
      <c r="H6" s="12">
        <f>F6-G6</f>
        <v/>
      </c>
      <c r="I6" s="12">
        <f>H6*IF(A6="Apple",Eingaben!$B$15,Eingaben!$B$16)</f>
        <v/>
      </c>
      <c r="J6" s="12">
        <f>H6*Eingaben!$B$17</f>
        <v/>
      </c>
      <c r="K6" s="12">
        <f>H6*Eingaben!$B$18</f>
        <v/>
      </c>
      <c r="L6" s="12">
        <f>H6-I6-J6-K6</f>
        <v/>
      </c>
      <c r="M6" s="12">
        <f>D6*(Eingaben!$B$24+Eingaben!$B$26+IF(B6="AI",Eingaben!$B$25,0))</f>
        <v/>
      </c>
      <c r="N6" s="12">
        <f>L6-M6</f>
        <v/>
      </c>
    </row>
    <row r="7">
      <c r="A7" s="10">
        <f>Eingaben!A32</f>
        <v/>
      </c>
      <c r="B7" s="10">
        <f>Eingaben!B32</f>
        <v/>
      </c>
      <c r="C7" s="10">
        <f>Eingaben!C32</f>
        <v/>
      </c>
      <c r="D7" s="11">
        <f>Eingaben!D32</f>
        <v/>
      </c>
      <c r="E7" s="12">
        <f>Eingaben!C7</f>
        <v/>
      </c>
      <c r="F7" s="12">
        <f>IF(C7="Jahr",D7*E7/12,D7*E7)</f>
        <v/>
      </c>
      <c r="G7" s="12">
        <f>F7*Eingaben!$B$14/(1+Eingaben!$B$14)</f>
        <v/>
      </c>
      <c r="H7" s="12">
        <f>F7-G7</f>
        <v/>
      </c>
      <c r="I7" s="12">
        <f>H7*IF(A7="Apple",Eingaben!$B$15,Eingaben!$B$16)</f>
        <v/>
      </c>
      <c r="J7" s="12">
        <f>H7*Eingaben!$B$17</f>
        <v/>
      </c>
      <c r="K7" s="12">
        <f>H7*Eingaben!$B$18</f>
        <v/>
      </c>
      <c r="L7" s="12">
        <f>H7-I7-J7-K7</f>
        <v/>
      </c>
      <c r="M7" s="12">
        <f>D7*(Eingaben!$B$24+Eingaben!$B$26+IF(B7="AI",Eingaben!$B$25,0))</f>
        <v/>
      </c>
      <c r="N7" s="12">
        <f>L7-M7</f>
        <v/>
      </c>
    </row>
    <row r="8">
      <c r="A8" s="10">
        <f>Eingaben!A33</f>
        <v/>
      </c>
      <c r="B8" s="10">
        <f>Eingaben!B33</f>
        <v/>
      </c>
      <c r="C8" s="10">
        <f>Eingaben!C33</f>
        <v/>
      </c>
      <c r="D8" s="11">
        <f>Eingaben!D33</f>
        <v/>
      </c>
      <c r="E8" s="12">
        <f>Eingaben!C8</f>
        <v/>
      </c>
      <c r="F8" s="12">
        <f>IF(C8="Jahr",D8*E8/12,D8*E8)</f>
        <v/>
      </c>
      <c r="G8" s="12">
        <f>F8*Eingaben!$B$14/(1+Eingaben!$B$14)</f>
        <v/>
      </c>
      <c r="H8" s="12">
        <f>F8-G8</f>
        <v/>
      </c>
      <c r="I8" s="12">
        <f>H8*IF(A8="Apple",Eingaben!$B$15,Eingaben!$B$16)</f>
        <v/>
      </c>
      <c r="J8" s="12">
        <f>H8*Eingaben!$B$17</f>
        <v/>
      </c>
      <c r="K8" s="12">
        <f>H8*Eingaben!$B$18</f>
        <v/>
      </c>
      <c r="L8" s="12">
        <f>H8-I8-J8-K8</f>
        <v/>
      </c>
      <c r="M8" s="12">
        <f>D8*(Eingaben!$B$24+Eingaben!$B$26+IF(B8="AI",Eingaben!$B$25,0))</f>
        <v/>
      </c>
      <c r="N8" s="12">
        <f>L8-M8</f>
        <v/>
      </c>
    </row>
    <row r="9">
      <c r="A9" s="10">
        <f>Eingaben!A34</f>
        <v/>
      </c>
      <c r="B9" s="10">
        <f>Eingaben!B34</f>
        <v/>
      </c>
      <c r="C9" s="10">
        <f>Eingaben!C34</f>
        <v/>
      </c>
      <c r="D9" s="11">
        <f>Eingaben!D34</f>
        <v/>
      </c>
      <c r="E9" s="12">
        <f>Eingaben!C9</f>
        <v/>
      </c>
      <c r="F9" s="12">
        <f>IF(C9="Jahr",D9*E9/12,D9*E9)</f>
        <v/>
      </c>
      <c r="G9" s="12">
        <f>F9*Eingaben!$B$14/(1+Eingaben!$B$14)</f>
        <v/>
      </c>
      <c r="H9" s="12">
        <f>F9-G9</f>
        <v/>
      </c>
      <c r="I9" s="12">
        <f>H9*IF(A9="Apple",Eingaben!$B$15,Eingaben!$B$16)</f>
        <v/>
      </c>
      <c r="J9" s="12">
        <f>H9*Eingaben!$B$17</f>
        <v/>
      </c>
      <c r="K9" s="12">
        <f>H9*Eingaben!$B$18</f>
        <v/>
      </c>
      <c r="L9" s="12">
        <f>H9-I9-J9-K9</f>
        <v/>
      </c>
      <c r="M9" s="12">
        <f>D9*(Eingaben!$B$24+Eingaben!$B$26+IF(B9="AI",Eingaben!$B$25,0))</f>
        <v/>
      </c>
      <c r="N9" s="12">
        <f>L9-M9</f>
        <v/>
      </c>
    </row>
    <row r="10">
      <c r="A10" s="10">
        <f>Eingaben!A35</f>
        <v/>
      </c>
      <c r="B10" s="10">
        <f>Eingaben!B35</f>
        <v/>
      </c>
      <c r="C10" s="10">
        <f>Eingaben!C35</f>
        <v/>
      </c>
      <c r="D10" s="11">
        <f>Eingaben!D35</f>
        <v/>
      </c>
      <c r="E10" s="12">
        <f>Eingaben!C6</f>
        <v/>
      </c>
      <c r="F10" s="12">
        <f>IF(C10="Jahr",D10*E10/12,D10*E10)</f>
        <v/>
      </c>
      <c r="G10" s="12">
        <f>F10*Eingaben!$B$14/(1+Eingaben!$B$14)</f>
        <v/>
      </c>
      <c r="H10" s="12">
        <f>F10-G10</f>
        <v/>
      </c>
      <c r="I10" s="12">
        <f>H10*IF(A10="Apple",Eingaben!$B$15,Eingaben!$B$16)</f>
        <v/>
      </c>
      <c r="J10" s="12">
        <f>H10*Eingaben!$B$17</f>
        <v/>
      </c>
      <c r="K10" s="12">
        <f>H10*Eingaben!$B$18</f>
        <v/>
      </c>
      <c r="L10" s="12">
        <f>H10-I10-J10-K10</f>
        <v/>
      </c>
      <c r="M10" s="12">
        <f>D10*(Eingaben!$B$24+Eingaben!$B$26+IF(B10="AI",Eingaben!$B$25,0))</f>
        <v/>
      </c>
      <c r="N10" s="12">
        <f>L10-M10</f>
        <v/>
      </c>
    </row>
    <row r="11">
      <c r="A11" s="10">
        <f>Eingaben!A36</f>
        <v/>
      </c>
      <c r="B11" s="10">
        <f>Eingaben!B36</f>
        <v/>
      </c>
      <c r="C11" s="10">
        <f>Eingaben!C36</f>
        <v/>
      </c>
      <c r="D11" s="11">
        <f>Eingaben!D36</f>
        <v/>
      </c>
      <c r="E11" s="12">
        <f>Eingaben!C7</f>
        <v/>
      </c>
      <c r="F11" s="12">
        <f>IF(C11="Jahr",D11*E11/12,D11*E11)</f>
        <v/>
      </c>
      <c r="G11" s="12">
        <f>F11*Eingaben!$B$14/(1+Eingaben!$B$14)</f>
        <v/>
      </c>
      <c r="H11" s="12">
        <f>F11-G11</f>
        <v/>
      </c>
      <c r="I11" s="12">
        <f>H11*IF(A11="Apple",Eingaben!$B$15,Eingaben!$B$16)</f>
        <v/>
      </c>
      <c r="J11" s="12">
        <f>H11*Eingaben!$B$17</f>
        <v/>
      </c>
      <c r="K11" s="12">
        <f>H11*Eingaben!$B$18</f>
        <v/>
      </c>
      <c r="L11" s="12">
        <f>H11-I11-J11-K11</f>
        <v/>
      </c>
      <c r="M11" s="12">
        <f>D11*(Eingaben!$B$24+Eingaben!$B$26+IF(B11="AI",Eingaben!$B$25,0))</f>
        <v/>
      </c>
      <c r="N11" s="12">
        <f>L11-M11</f>
        <v/>
      </c>
    </row>
    <row r="12">
      <c r="A12" s="10">
        <f>Eingaben!A37</f>
        <v/>
      </c>
      <c r="B12" s="10">
        <f>Eingaben!B37</f>
        <v/>
      </c>
      <c r="C12" s="10">
        <f>Eingaben!C37</f>
        <v/>
      </c>
      <c r="D12" s="11">
        <f>Eingaben!D37</f>
        <v/>
      </c>
      <c r="E12" s="12">
        <f>Eingaben!C8</f>
        <v/>
      </c>
      <c r="F12" s="12">
        <f>IF(C12="Jahr",D12*E12/12,D12*E12)</f>
        <v/>
      </c>
      <c r="G12" s="12">
        <f>F12*Eingaben!$B$14/(1+Eingaben!$B$14)</f>
        <v/>
      </c>
      <c r="H12" s="12">
        <f>F12-G12</f>
        <v/>
      </c>
      <c r="I12" s="12">
        <f>H12*IF(A12="Apple",Eingaben!$B$15,Eingaben!$B$16)</f>
        <v/>
      </c>
      <c r="J12" s="12">
        <f>H12*Eingaben!$B$17</f>
        <v/>
      </c>
      <c r="K12" s="12">
        <f>H12*Eingaben!$B$18</f>
        <v/>
      </c>
      <c r="L12" s="12">
        <f>H12-I12-J12-K12</f>
        <v/>
      </c>
      <c r="M12" s="12">
        <f>D12*(Eingaben!$B$24+Eingaben!$B$26+IF(B12="AI",Eingaben!$B$25,0))</f>
        <v/>
      </c>
      <c r="N12" s="12">
        <f>L12-M12</f>
        <v/>
      </c>
    </row>
    <row r="13">
      <c r="A13" s="10">
        <f>Eingaben!A38</f>
        <v/>
      </c>
      <c r="B13" s="10">
        <f>Eingaben!B38</f>
        <v/>
      </c>
      <c r="C13" s="10">
        <f>Eingaben!C38</f>
        <v/>
      </c>
      <c r="D13" s="11">
        <f>Eingaben!D38</f>
        <v/>
      </c>
      <c r="E13" s="12">
        <f>Eingaben!C9</f>
        <v/>
      </c>
      <c r="F13" s="12">
        <f>IF(C13="Jahr",D13*E13/12,D13*E13)</f>
        <v/>
      </c>
      <c r="G13" s="12">
        <f>F13*Eingaben!$B$14/(1+Eingaben!$B$14)</f>
        <v/>
      </c>
      <c r="H13" s="12">
        <f>F13-G13</f>
        <v/>
      </c>
      <c r="I13" s="12">
        <f>H13*IF(A13="Apple",Eingaben!$B$15,Eingaben!$B$16)</f>
        <v/>
      </c>
      <c r="J13" s="12">
        <f>H13*Eingaben!$B$17</f>
        <v/>
      </c>
      <c r="K13" s="12">
        <f>H13*Eingaben!$B$18</f>
        <v/>
      </c>
      <c r="L13" s="12">
        <f>H13-I13-J13-K13</f>
        <v/>
      </c>
      <c r="M13" s="12">
        <f>D13*(Eingaben!$B$24+Eingaben!$B$26+IF(B13="AI",Eingaben!$B$25,0))</f>
        <v/>
      </c>
      <c r="N13" s="12">
        <f>L13-M13</f>
        <v/>
      </c>
    </row>
    <row r="14"/>
    <row r="15"/>
    <row r="16">
      <c r="A16" s="3" t="inlineStr">
        <is>
          <t>Gesamt</t>
        </is>
      </c>
      <c r="B16" s="13" t="n"/>
      <c r="C16" s="13" t="n"/>
      <c r="D16" s="14">
        <f>SUM(D6:D13)</f>
        <v/>
      </c>
      <c r="E16" s="15">
        <f>SUM(E6:E13)</f>
        <v/>
      </c>
      <c r="F16" s="15">
        <f>SUM(F6:F13)</f>
        <v/>
      </c>
      <c r="G16" s="15">
        <f>SUM(G6:G13)</f>
        <v/>
      </c>
      <c r="H16" s="15">
        <f>SUM(H6:H13)</f>
        <v/>
      </c>
      <c r="I16" s="15">
        <f>SUM(I6:I13)</f>
        <v/>
      </c>
      <c r="J16" s="15">
        <f>SUM(J6:J13)</f>
        <v/>
      </c>
      <c r="K16" s="15">
        <f>SUM(K6:K13)</f>
        <v/>
      </c>
      <c r="L16" s="15">
        <f>SUM(L6:L13)</f>
        <v/>
      </c>
      <c r="M16" s="15">
        <f>SUM(M6:M13)</f>
        <v/>
      </c>
      <c r="N16" s="15">
        <f>SUM(N6:N13)</f>
        <v/>
      </c>
    </row>
    <row r="17"/>
    <row r="18">
      <c r="A18" s="16" t="inlineStr">
        <is>
          <t>Fixkosten pro Monat</t>
        </is>
      </c>
      <c r="B18" s="17">
        <f>Eingaben!B23</f>
        <v/>
      </c>
    </row>
    <row r="19">
      <c r="A19" s="16" t="inlineStr">
        <is>
          <t>Deckungsbeitrag nach Fixkosten</t>
        </is>
      </c>
      <c r="B19" s="18">
        <f>N16-B18</f>
        <v/>
      </c>
    </row>
    <row r="20">
      <c r="A20" s="16" t="inlineStr">
        <is>
          <t>Effektiver Nettoerlös je 1 € Bruttoumsatz</t>
        </is>
      </c>
      <c r="B20" s="19">
        <f>IF(F16=0,0,B19/F16)</f>
        <v/>
      </c>
    </row>
  </sheetData>
  <autoFilter ref="A1:N20"/>
  <mergeCells count="3">
    <mergeCell ref="A1:D1"/>
    <mergeCell ref="A3:N3"/>
    <mergeCell ref="A2:D2"/>
  </mergeCells>
  <conditionalFormatting sqref="B19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75" customWidth="1" min="2" max="2"/>
    <col width="20" customWidth="1" min="3" max="3"/>
    <col width="20" customWidth="1" min="4" max="4"/>
  </cols>
  <sheetData>
    <row r="1">
      <c r="A1" s="1" t="inlineStr">
        <is>
          <t>Modellannahmen und Quellen</t>
        </is>
      </c>
    </row>
    <row r="2"/>
    <row r="3">
      <c r="A3" s="3" t="inlineStr">
        <is>
          <t>Wichtige Modelllogik</t>
        </is>
      </c>
    </row>
    <row r="4">
      <c r="A4" s="20" t="inlineStr">
        <is>
          <t>1. Free ist kein RevenueCat-Entitlement. Free bedeutet: kein aktives Plus- oder AI-Entitlement.</t>
        </is>
      </c>
    </row>
    <row r="5">
      <c r="A5" s="20" t="inlineStr">
        <is>
          <t>2. Die Preise sind Bruttopreise. Das Modell zieht die eingetragene VAT rechnerisch zuerst ab.</t>
        </is>
      </c>
    </row>
    <row r="6">
      <c r="A6" s="20" t="inlineStr">
        <is>
          <t>3. Apple und Google werden getrennt gerechnet. Die Prozentsätze sind editierbare Defaults, keine unveränderlichen Tatsachen.</t>
        </is>
      </c>
    </row>
    <row r="7">
      <c r="A7" s="20" t="inlineStr">
        <is>
          <t>4. Jahresabos werden als Monats-Run-Rate dargestellt. Für Cashflow-Planung braucht ihr zusätzlich neue Abschlüsse und Verlängerungen pro Monat.</t>
        </is>
      </c>
    </row>
    <row r="8">
      <c r="A8" s="20" t="inlineStr">
        <is>
          <t>5. Bei einem haushaltsweiten Abo ist ein Eintrag unter 'Aktive zahlende Abos' ein zahlender Haushalt bzw. eine zahlende Subscription, nicht jedes Haushaltsmitglied.</t>
        </is>
      </c>
    </row>
    <row r="9">
      <c r="A9" s="20" t="inlineStr">
        <is>
          <t>6. Der Deckungsbeitrag ist keine Steuer- oder Bilanzberatung. Rückerstattungen, lokale Preisstaffeln und Wechselkurse können zusätzliche Abweichungen erzeugen.</t>
        </is>
      </c>
    </row>
    <row r="10"/>
    <row r="11"/>
    <row r="12">
      <c r="A12" s="3" t="inlineStr">
        <is>
          <t>Offizielle Gebührenreferenzen</t>
        </is>
      </c>
    </row>
    <row r="13">
      <c r="A13" s="21" t="inlineStr">
        <is>
          <t>Apple App Store Small Business Program</t>
        </is>
      </c>
      <c r="B13" s="22" t="inlineStr">
        <is>
          <t>https://developer.apple.com/app-store/small-business-program/</t>
        </is>
      </c>
    </row>
    <row r="14">
      <c r="A14" s="21" t="inlineStr">
        <is>
          <t>Apple Developer Program fees and qualifying subscriptions</t>
        </is>
      </c>
      <c r="B14" s="22" t="inlineStr">
        <is>
          <t>https://developer.apple.com/programs/whats-included/</t>
        </is>
      </c>
    </row>
    <row r="15">
      <c r="A15" s="21" t="inlineStr">
        <is>
          <t>Google Play service fees</t>
        </is>
      </c>
      <c r="B15" s="22" t="inlineStr">
        <is>
          <t>https://support.google.com/googleplay/android-developer/answer/112622</t>
        </is>
      </c>
    </row>
  </sheetData>
  <autoFilter ref="A1:D15"/>
  <mergeCells count="9">
    <mergeCell ref="A1:D1"/>
    <mergeCell ref="A5:D5"/>
    <mergeCell ref="A9:D9"/>
    <mergeCell ref="A8:D8"/>
    <mergeCell ref="A6:D6"/>
    <mergeCell ref="A12:D12"/>
    <mergeCell ref="A4:D4"/>
    <mergeCell ref="A3:D3"/>
    <mergeCell ref="A7:D7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2026-08-31T02:32:02Z</dcterms:created>
  <dcterms:modified xmlns:dcterms="http://purl.org/dc/terms/" xmlns:xsi="http://www.w3.org/2001/XMLSchema-instance" xsi:type="dcterms:W3CDTF">2026-08-31T02:32:02Z</dcterms:modified>
</cp:coreProperties>
</file>